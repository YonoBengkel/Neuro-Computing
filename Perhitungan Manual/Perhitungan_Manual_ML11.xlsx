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PTRON-XOR" sheetId="1" state="visible" r:id="rId1"/>
    <sheet xmlns:r="http://schemas.openxmlformats.org/officeDocument/2006/relationships" name="MLP-X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"/>
  </numFmts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0" fillId="2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164" fontId="1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Relationship Type="http://schemas.openxmlformats.org/officeDocument/2006/relationships/image" Target="/xl/media/image9.png" Id="rId5"/><Relationship Type="http://schemas.openxmlformats.org/officeDocument/2006/relationships/image" Target="/xl/media/image10.png" Id="rId6"/><Relationship Type="http://schemas.openxmlformats.org/officeDocument/2006/relationships/image" Target="/xl/media/image11.png" Id="rId7"/><Relationship Type="http://schemas.openxmlformats.org/officeDocument/2006/relationships/image" Target="/xl/media/image12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33813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571875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2238375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238500" cy="1666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571875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571875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762125" cy="552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2714625" cy="361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3048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2952750" cy="361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3143250" cy="552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3810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44"/>
  <sheetViews>
    <sheetView showGridLines="0" workbookViewId="0">
      <selection activeCell="A1" sqref="A1"/>
    </sheetView>
  </sheetViews>
  <sheetFormatPr baseColWidth="8" defaultRowHeight="15"/>
  <cols>
    <col width="9" customWidth="1" min="2" max="2"/>
    <col width="9" customWidth="1" min="3" max="3"/>
    <col width="41" customWidth="1" min="4" max="4"/>
    <col width="9" customWidth="1" min="5" max="5"/>
    <col width="16" customWidth="1" min="6" max="6"/>
    <col width="11" customWidth="1" min="7" max="7"/>
    <col width="11" customWidth="1" min="8" max="8"/>
    <col width="3" customWidth="1" min="9" max="9"/>
    <col width="10" customWidth="1" min="10" max="10"/>
    <col width="8" customWidth="1" min="11" max="11"/>
    <col width="8" customWidth="1" min="12" max="12"/>
    <col width="12" customWidth="1" min="13" max="13"/>
    <col width="10" customWidth="1" min="14" max="14"/>
    <col width="10" customWidth="1" min="15" max="15"/>
    <col width="9" customWidth="1" min="16" max="16"/>
    <col width="11" customWidth="1" min="17" max="17"/>
    <col width="11" customWidth="1" min="18" max="18"/>
    <col width="11" customWidth="1" min="19" max="19"/>
  </cols>
  <sheetData>
    <row r="1">
      <c r="B1" s="1" t="inlineStr">
        <is>
          <t>XOR</t>
        </is>
      </c>
    </row>
    <row r="2">
      <c r="B2" s="2" t="inlineStr">
        <is>
          <t>X1</t>
        </is>
      </c>
      <c r="C2" s="2" t="inlineStr">
        <is>
          <t>X2</t>
        </is>
      </c>
      <c r="D2" s="2" t="inlineStr">
        <is>
          <t>XOR</t>
        </is>
      </c>
      <c r="E2" s="2" t="inlineStr">
        <is>
          <t>Y</t>
        </is>
      </c>
      <c r="G2" s="2" t="inlineStr">
        <is>
          <t>WEIGHT</t>
        </is>
      </c>
      <c r="H2" s="2" t="inlineStr">
        <is>
          <t>NILAI</t>
        </is>
      </c>
      <c r="J2" s="2" t="inlineStr">
        <is>
          <t>EPOCH 1</t>
        </is>
      </c>
      <c r="K2" s="2" t="inlineStr">
        <is>
          <t>X1</t>
        </is>
      </c>
      <c r="L2" s="2" t="inlineStr">
        <is>
          <t>X2</t>
        </is>
      </c>
      <c r="M2" s="2" t="inlineStr">
        <is>
          <t>SUM</t>
        </is>
      </c>
      <c r="N2" s="2" t="inlineStr">
        <is>
          <t>OUTPUT</t>
        </is>
      </c>
      <c r="O2" s="2" t="inlineStr">
        <is>
          <t>TARGET</t>
        </is>
      </c>
      <c r="P2" s="2" t="inlineStr">
        <is>
          <t>ERROR</t>
        </is>
      </c>
      <c r="Q2" s="2" t="inlineStr">
        <is>
          <t>W1</t>
        </is>
      </c>
      <c r="R2" s="2" t="inlineStr">
        <is>
          <t>W2</t>
        </is>
      </c>
      <c r="S2" s="2" t="inlineStr">
        <is>
          <t>W3</t>
        </is>
      </c>
    </row>
    <row r="3">
      <c r="B3" s="3" t="n">
        <v>0</v>
      </c>
      <c r="C3" s="3" t="n">
        <v>0</v>
      </c>
      <c r="D3" s="3">
        <f>OR(AND(B3,NOT(C3)),AND(C3,NOT(B3)))</f>
        <v/>
      </c>
      <c r="E3" s="3">
        <f>IF(D3, 1,0)</f>
        <v/>
      </c>
      <c r="G3" s="3" t="inlineStr">
        <is>
          <t>W1</t>
        </is>
      </c>
      <c r="H3" s="4" t="n">
        <v>-0.1254598811526375</v>
      </c>
      <c r="J3" s="5" t="n"/>
      <c r="K3" s="3" t="n">
        <v>0</v>
      </c>
      <c r="L3" s="3" t="n">
        <v>0</v>
      </c>
      <c r="M3" s="6">
        <f>($H$10*$H$3)+(K3*$H$4)+(L3*$H$5)</f>
        <v/>
      </c>
      <c r="N3" s="1">
        <f>IF(M3&gt;=$H$8,1,0)</f>
        <v/>
      </c>
      <c r="O3" s="3">
        <f>$E$3</f>
        <v/>
      </c>
      <c r="P3" s="1">
        <f>O3-N3</f>
        <v/>
      </c>
      <c r="Q3" s="4">
        <f>$H$3+$H$12*$P3*$H$10</f>
        <v/>
      </c>
      <c r="R3" s="4">
        <f>$H$4+$H$12*$P3*$K3</f>
        <v/>
      </c>
      <c r="S3" s="4">
        <f>$H$5+$H$12*$P3*$L3</f>
        <v/>
      </c>
    </row>
    <row r="4">
      <c r="B4" s="3" t="n">
        <v>0</v>
      </c>
      <c r="C4" s="3" t="n">
        <v>1</v>
      </c>
      <c r="D4" s="3">
        <f>OR(AND(B4,NOT(C4)),AND(C4,NOT(B4)))</f>
        <v/>
      </c>
      <c r="E4" s="3">
        <f>IF(D4, 1,0)</f>
        <v/>
      </c>
      <c r="G4" s="3" t="inlineStr">
        <is>
          <t>W2</t>
        </is>
      </c>
      <c r="H4" s="4" t="n">
        <v>0.4507143064099162</v>
      </c>
      <c r="J4" s="5" t="n"/>
      <c r="K4" s="3" t="n">
        <v>0</v>
      </c>
      <c r="L4" s="3" t="n">
        <v>1</v>
      </c>
      <c r="M4" s="6">
        <f>($H$10*$Q$3)+(K4*$R$3)+(L4*$S$3)</f>
        <v/>
      </c>
      <c r="N4" s="1">
        <f>IF(M4&gt;=$H$8,1,0)</f>
        <v/>
      </c>
      <c r="O4" s="3">
        <f>$E$4</f>
        <v/>
      </c>
      <c r="P4" s="1">
        <f>O4-N4</f>
        <v/>
      </c>
      <c r="Q4" s="4">
        <f>$Q$3+$H$12*$P4*$H$10</f>
        <v/>
      </c>
      <c r="R4" s="4">
        <f>$R$3+$H$12*$P4*$K4</f>
        <v/>
      </c>
      <c r="S4" s="4">
        <f>$S$3+$H$12*$P4*$L4</f>
        <v/>
      </c>
    </row>
    <row r="5">
      <c r="B5" s="3" t="n">
        <v>1</v>
      </c>
      <c r="C5" s="3" t="n">
        <v>0</v>
      </c>
      <c r="D5" s="3">
        <f>OR(AND(B5,NOT(C5)),AND(C5,NOT(B5)))</f>
        <v/>
      </c>
      <c r="E5" s="3">
        <f>IF(D5, 1,0)</f>
        <v/>
      </c>
      <c r="G5" s="3" t="inlineStr">
        <is>
          <t>W3</t>
        </is>
      </c>
      <c r="H5" s="4" t="n">
        <v>0.2319939418114051</v>
      </c>
      <c r="J5" s="5" t="n"/>
      <c r="K5" s="3" t="n">
        <v>1</v>
      </c>
      <c r="L5" s="3" t="n">
        <v>0</v>
      </c>
      <c r="M5" s="6">
        <f>($H$10*$Q$4)+(K5*$R$4)+(L5*$S$4)</f>
        <v/>
      </c>
      <c r="N5" s="1">
        <f>IF(M5&gt;=$H$8,1,0)</f>
        <v/>
      </c>
      <c r="O5" s="3">
        <f>$E$5</f>
        <v/>
      </c>
      <c r="P5" s="1">
        <f>O5-N5</f>
        <v/>
      </c>
      <c r="Q5" s="4">
        <f>$Q$4+$H$12*$P5*$H$10</f>
        <v/>
      </c>
      <c r="R5" s="4">
        <f>$R$4+$H$12*$P5*$K5</f>
        <v/>
      </c>
      <c r="S5" s="4">
        <f>$S$4+$H$12*$P5*$L5</f>
        <v/>
      </c>
    </row>
    <row r="6">
      <c r="B6" s="3" t="n">
        <v>1</v>
      </c>
      <c r="C6" s="3" t="n">
        <v>1</v>
      </c>
      <c r="D6" s="3">
        <f>OR(AND(B6,NOT(C6)),AND(C6,NOT(B6)))</f>
        <v/>
      </c>
      <c r="E6" s="3">
        <f>IF(D6, 1,0)</f>
        <v/>
      </c>
      <c r="J6" s="5" t="n"/>
      <c r="K6" s="3" t="n">
        <v>1</v>
      </c>
      <c r="L6" s="3" t="n">
        <v>1</v>
      </c>
      <c r="M6" s="6">
        <f>($H$10*$Q$5)+(K6*$R$5)+(L6*$S$5)</f>
        <v/>
      </c>
      <c r="N6" s="1">
        <f>IF(M6&gt;=$H$8,1,0)</f>
        <v/>
      </c>
      <c r="O6" s="3">
        <f>$E$6</f>
        <v/>
      </c>
      <c r="P6" s="1">
        <f>O6-N6</f>
        <v/>
      </c>
      <c r="Q6" s="4">
        <f>$Q$5+$H$12*$P6*$H$10</f>
        <v/>
      </c>
      <c r="R6" s="4">
        <f>$R$5+$H$12*$P6*$K6</f>
        <v/>
      </c>
      <c r="S6" s="4">
        <f>$S$5+$H$12*$P6*$L6</f>
        <v/>
      </c>
    </row>
    <row r="7">
      <c r="G7" s="2" t="inlineStr">
        <is>
          <t>Threshold</t>
        </is>
      </c>
      <c r="H7" s="2" t="inlineStr">
        <is>
          <t>NILAI</t>
        </is>
      </c>
    </row>
    <row r="8">
      <c r="B8" s="2" t="inlineStr">
        <is>
          <t>KET</t>
        </is>
      </c>
      <c r="C8" s="3" t="n">
        <v>0</v>
      </c>
      <c r="D8" s="7" t="inlineStr">
        <is>
          <t>FALSE</t>
        </is>
      </c>
      <c r="G8" s="3" t="inlineStr">
        <is>
          <t>t</t>
        </is>
      </c>
      <c r="H8" s="8" t="n">
        <v>0</v>
      </c>
      <c r="J8" s="2" t="inlineStr">
        <is>
          <t>EPOCH 2</t>
        </is>
      </c>
      <c r="K8" s="2" t="inlineStr">
        <is>
          <t>X1</t>
        </is>
      </c>
      <c r="L8" s="2" t="inlineStr">
        <is>
          <t>X2</t>
        </is>
      </c>
      <c r="M8" s="2" t="inlineStr">
        <is>
          <t>SUM</t>
        </is>
      </c>
      <c r="N8" s="2" t="inlineStr">
        <is>
          <t>OUTPUT</t>
        </is>
      </c>
      <c r="O8" s="2" t="inlineStr">
        <is>
          <t>TARGET</t>
        </is>
      </c>
      <c r="P8" s="2" t="inlineStr">
        <is>
          <t>ERROR</t>
        </is>
      </c>
      <c r="Q8" s="2" t="inlineStr">
        <is>
          <t>W1</t>
        </is>
      </c>
      <c r="R8" s="2" t="inlineStr">
        <is>
          <t>W2</t>
        </is>
      </c>
      <c r="S8" s="2" t="inlineStr">
        <is>
          <t>W3</t>
        </is>
      </c>
    </row>
    <row r="9">
      <c r="B9" s="5" t="n"/>
      <c r="C9" s="3" t="n">
        <v>1</v>
      </c>
      <c r="D9" s="7" t="inlineStr">
        <is>
          <t>TRUE</t>
        </is>
      </c>
      <c r="J9" s="5" t="n"/>
      <c r="K9" s="3" t="n">
        <v>0</v>
      </c>
      <c r="L9" s="3" t="n">
        <v>0</v>
      </c>
      <c r="M9" s="6">
        <f>($H$10*$Q$6)+(K9*$R$6)+(L9*$S$6)</f>
        <v/>
      </c>
      <c r="N9" s="1">
        <f>IF(M9&gt;=$H$8,1,0)</f>
        <v/>
      </c>
      <c r="O9" s="3">
        <f>$E$3</f>
        <v/>
      </c>
      <c r="P9" s="1">
        <f>O9-N9</f>
        <v/>
      </c>
      <c r="Q9" s="4">
        <f>$Q$6+$H$12*$P9*$H$10</f>
        <v/>
      </c>
      <c r="R9" s="4">
        <f>$R$6+$H$12*$P9*$K9</f>
        <v/>
      </c>
      <c r="S9" s="4">
        <f>$S$6+$H$12*$P9*$L9</f>
        <v/>
      </c>
    </row>
    <row r="10">
      <c r="B10" s="5" t="n"/>
      <c r="C10" s="3" t="inlineStr">
        <is>
          <t>XOR</t>
        </is>
      </c>
      <c r="D10" s="7" t="inlineStr">
        <is>
          <t>(X1 AND NOT X2) OR (X2 AND NOT X1)</t>
        </is>
      </c>
      <c r="G10" s="2" t="inlineStr">
        <is>
          <t>BIAS</t>
        </is>
      </c>
      <c r="H10" s="8" t="n">
        <v>1</v>
      </c>
      <c r="J10" s="5" t="n"/>
      <c r="K10" s="3" t="n">
        <v>0</v>
      </c>
      <c r="L10" s="3" t="n">
        <v>1</v>
      </c>
      <c r="M10" s="6">
        <f>($H$10*$Q$9)+(K10*$R$9)+(L10*$S$9)</f>
        <v/>
      </c>
      <c r="N10" s="1">
        <f>IF(M10&gt;=$H$8,1,0)</f>
        <v/>
      </c>
      <c r="O10" s="3">
        <f>$E$4</f>
        <v/>
      </c>
      <c r="P10" s="1">
        <f>O10-N10</f>
        <v/>
      </c>
      <c r="Q10" s="4">
        <f>$Q$9+$H$12*$P10*$H$10</f>
        <v/>
      </c>
      <c r="R10" s="4">
        <f>$R$9+$H$12*$P10*$K10</f>
        <v/>
      </c>
      <c r="S10" s="4">
        <f>$S$9+$H$12*$P10*$L10</f>
        <v/>
      </c>
    </row>
    <row r="11">
      <c r="B11" s="5" t="n"/>
      <c r="C11" s="3" t="inlineStr">
        <is>
          <t>η</t>
        </is>
      </c>
      <c r="D11" s="7" t="inlineStr">
        <is>
          <t>Learning Rate (Ex: 0.5)</t>
        </is>
      </c>
      <c r="J11" s="5" t="n"/>
      <c r="K11" s="3" t="n">
        <v>1</v>
      </c>
      <c r="L11" s="3" t="n">
        <v>0</v>
      </c>
      <c r="M11" s="6">
        <f>($H$10*$Q$10)+(K11*$R$10)+(L11*$S$10)</f>
        <v/>
      </c>
      <c r="N11" s="1">
        <f>IF(M11&gt;=$H$8,1,0)</f>
        <v/>
      </c>
      <c r="O11" s="3">
        <f>$E$5</f>
        <v/>
      </c>
      <c r="P11" s="1">
        <f>O11-N11</f>
        <v/>
      </c>
      <c r="Q11" s="4">
        <f>$Q$10+$H$12*$P11*$H$10</f>
        <v/>
      </c>
      <c r="R11" s="4">
        <f>$R$10+$H$12*$P11*$K11</f>
        <v/>
      </c>
      <c r="S11" s="4">
        <f>$S$10+$H$12*$P11*$L11</f>
        <v/>
      </c>
    </row>
    <row r="12">
      <c r="B12" s="5" t="n"/>
      <c r="C12" s="3" t="inlineStr">
        <is>
          <t>t</t>
        </is>
      </c>
      <c r="D12" s="7" t="inlineStr">
        <is>
          <t>Threshold aktivasi (t = 0)</t>
        </is>
      </c>
      <c r="G12" s="2" t="inlineStr">
        <is>
          <t>η</t>
        </is>
      </c>
      <c r="H12" s="8" t="n">
        <v>0.5</v>
      </c>
      <c r="J12" s="5" t="n"/>
      <c r="K12" s="3" t="n">
        <v>1</v>
      </c>
      <c r="L12" s="3" t="n">
        <v>1</v>
      </c>
      <c r="M12" s="6">
        <f>($H$10*$Q$11)+(K12*$R$11)+(L12*$S$11)</f>
        <v/>
      </c>
      <c r="N12" s="1">
        <f>IF(M12&gt;=$H$8,1,0)</f>
        <v/>
      </c>
      <c r="O12" s="3">
        <f>$E$6</f>
        <v/>
      </c>
      <c r="P12" s="1">
        <f>O12-N12</f>
        <v/>
      </c>
      <c r="Q12" s="4">
        <f>$Q$11+$H$12*$P12*$H$10</f>
        <v/>
      </c>
      <c r="R12" s="4">
        <f>$R$11+$H$12*$P12*$K12</f>
        <v/>
      </c>
      <c r="S12" s="4">
        <f>$S$11+$H$12*$P12*$L12</f>
        <v/>
      </c>
    </row>
    <row r="13">
      <c r="B13" s="5" t="n"/>
      <c r="C13" s="3" t="inlineStr">
        <is>
          <t>y</t>
        </is>
      </c>
      <c r="D13" s="7" t="inlineStr">
        <is>
          <t>Output Perceptron</t>
        </is>
      </c>
    </row>
    <row r="14">
      <c r="B14" s="5" t="n"/>
      <c r="C14" s="3" t="inlineStr">
        <is>
          <t>x_i</t>
        </is>
      </c>
      <c r="D14" s="7" t="inlineStr">
        <is>
          <t>input ke-i  (x0 = Bias = 1)</t>
        </is>
      </c>
      <c r="J14" s="2" t="inlineStr">
        <is>
          <t>EPOCH 3</t>
        </is>
      </c>
      <c r="K14" s="2" t="inlineStr">
        <is>
          <t>X1</t>
        </is>
      </c>
      <c r="L14" s="2" t="inlineStr">
        <is>
          <t>X2</t>
        </is>
      </c>
      <c r="M14" s="2" t="inlineStr">
        <is>
          <t>SUM</t>
        </is>
      </c>
      <c r="N14" s="2" t="inlineStr">
        <is>
          <t>OUTPUT</t>
        </is>
      </c>
      <c r="O14" s="2" t="inlineStr">
        <is>
          <t>TARGET</t>
        </is>
      </c>
      <c r="P14" s="2" t="inlineStr">
        <is>
          <t>ERROR</t>
        </is>
      </c>
      <c r="Q14" s="2" t="inlineStr">
        <is>
          <t>W1</t>
        </is>
      </c>
      <c r="R14" s="2" t="inlineStr">
        <is>
          <t>W2</t>
        </is>
      </c>
      <c r="S14" s="2" t="inlineStr">
        <is>
          <t>W3</t>
        </is>
      </c>
    </row>
    <row r="15">
      <c r="J15" s="5" t="n"/>
      <c r="K15" s="3" t="n">
        <v>0</v>
      </c>
      <c r="L15" s="3" t="n">
        <v>0</v>
      </c>
      <c r="M15" s="6">
        <f>($H$10*$Q$12)+(K15*$R$12)+(L15*$S$12)</f>
        <v/>
      </c>
      <c r="N15" s="1">
        <f>IF(M15&gt;=$H$8,1,0)</f>
        <v/>
      </c>
      <c r="O15" s="3">
        <f>$E$3</f>
        <v/>
      </c>
      <c r="P15" s="1">
        <f>O15-N15</f>
        <v/>
      </c>
      <c r="Q15" s="4">
        <f>$Q$12+$H$12*$P15*$H$10</f>
        <v/>
      </c>
      <c r="R15" s="4">
        <f>$R$12+$H$12*$P15*$K15</f>
        <v/>
      </c>
      <c r="S15" s="4">
        <f>$S$12+$H$12*$P15*$L15</f>
        <v/>
      </c>
    </row>
    <row r="16">
      <c r="B16" s="2" t="inlineStr">
        <is>
          <t>PERCEPTRON WEIGHT UPDATE INFORMATION</t>
        </is>
      </c>
      <c r="C16" s="5" t="n"/>
      <c r="D16" s="5" t="n"/>
      <c r="J16" s="5" t="n"/>
      <c r="K16" s="3" t="n">
        <v>0</v>
      </c>
      <c r="L16" s="3" t="n">
        <v>1</v>
      </c>
      <c r="M16" s="6">
        <f>($H$10*$Q$15)+(K16*$R$15)+(L16*$S$15)</f>
        <v/>
      </c>
      <c r="N16" s="1">
        <f>IF(M16&gt;=$H$8,1,0)</f>
        <v/>
      </c>
      <c r="O16" s="3">
        <f>$E$4</f>
        <v/>
      </c>
      <c r="P16" s="1">
        <f>O16-N16</f>
        <v/>
      </c>
      <c r="Q16" s="4">
        <f>$Q$15+$H$12*$P16*$H$10</f>
        <v/>
      </c>
      <c r="R16" s="4">
        <f>$R$15+$H$12*$P16*$K16</f>
        <v/>
      </c>
      <c r="S16" s="4">
        <f>$S$15+$H$12*$P16*$L16</f>
        <v/>
      </c>
    </row>
    <row r="17">
      <c r="B17" s="9" t="n"/>
      <c r="C17" s="9" t="n"/>
      <c r="D17" s="9" t="n"/>
      <c r="J17" s="5" t="n"/>
      <c r="K17" s="3" t="n">
        <v>1</v>
      </c>
      <c r="L17" s="3" t="n">
        <v>0</v>
      </c>
      <c r="M17" s="6">
        <f>($H$10*$Q$16)+(K17*$R$16)+(L17*$S$16)</f>
        <v/>
      </c>
      <c r="N17" s="1">
        <f>IF(M17&gt;=$H$8,1,0)</f>
        <v/>
      </c>
      <c r="O17" s="3">
        <f>$E$5</f>
        <v/>
      </c>
      <c r="P17" s="1">
        <f>O17-N17</f>
        <v/>
      </c>
      <c r="Q17" s="4">
        <f>$Q$16+$H$12*$P17*$H$10</f>
        <v/>
      </c>
      <c r="R17" s="4">
        <f>$R$16+$H$12*$P17*$K17</f>
        <v/>
      </c>
      <c r="S17" s="4">
        <f>$S$16+$H$12*$P17*$L17</f>
        <v/>
      </c>
    </row>
    <row r="18">
      <c r="B18" s="9" t="n"/>
      <c r="C18" s="9" t="n"/>
      <c r="D18" s="9" t="n"/>
      <c r="J18" s="5" t="n"/>
      <c r="K18" s="3" t="n">
        <v>1</v>
      </c>
      <c r="L18" s="3" t="n">
        <v>1</v>
      </c>
      <c r="M18" s="6">
        <f>($H$10*$Q$17)+(K18*$R$17)+(L18*$S$17)</f>
        <v/>
      </c>
      <c r="N18" s="1">
        <f>IF(M18&gt;=$H$8,1,0)</f>
        <v/>
      </c>
      <c r="O18" s="3">
        <f>$E$6</f>
        <v/>
      </c>
      <c r="P18" s="1">
        <f>O18-N18</f>
        <v/>
      </c>
      <c r="Q18" s="4">
        <f>$Q$17+$H$12*$P18*$H$10</f>
        <v/>
      </c>
      <c r="R18" s="4">
        <f>$R$17+$H$12*$P18*$K18</f>
        <v/>
      </c>
      <c r="S18" s="4">
        <f>$S$17+$H$12*$P18*$L18</f>
        <v/>
      </c>
    </row>
    <row r="20">
      <c r="B20" s="2" t="inlineStr">
        <is>
          <t>WEIGHTED SUM FUNCTION</t>
        </is>
      </c>
      <c r="C20" s="5" t="n"/>
      <c r="D20" s="5" t="n"/>
      <c r="J20" s="2" t="inlineStr">
        <is>
          <t>EPOCH 4</t>
        </is>
      </c>
      <c r="K20" s="2" t="inlineStr">
        <is>
          <t>X1</t>
        </is>
      </c>
      <c r="L20" s="2" t="inlineStr">
        <is>
          <t>X2</t>
        </is>
      </c>
      <c r="M20" s="2" t="inlineStr">
        <is>
          <t>SUM</t>
        </is>
      </c>
      <c r="N20" s="2" t="inlineStr">
        <is>
          <t>OUTPUT</t>
        </is>
      </c>
      <c r="O20" s="2" t="inlineStr">
        <is>
          <t>TARGET</t>
        </is>
      </c>
      <c r="P20" s="2" t="inlineStr">
        <is>
          <t>ERROR</t>
        </is>
      </c>
      <c r="Q20" s="2" t="inlineStr">
        <is>
          <t>W1</t>
        </is>
      </c>
      <c r="R20" s="2" t="inlineStr">
        <is>
          <t>W2</t>
        </is>
      </c>
      <c r="S20" s="2" t="inlineStr">
        <is>
          <t>W3</t>
        </is>
      </c>
    </row>
    <row r="21">
      <c r="B21" s="9" t="n"/>
      <c r="C21" s="9" t="n"/>
      <c r="D21" s="9" t="n"/>
      <c r="J21" s="5" t="n"/>
      <c r="K21" s="3" t="n">
        <v>0</v>
      </c>
      <c r="L21" s="3" t="n">
        <v>0</v>
      </c>
      <c r="M21" s="6">
        <f>($H$10*$Q$18)+(K21*$R$18)+(L21*$S$18)</f>
        <v/>
      </c>
      <c r="N21" s="1">
        <f>IF(M21&gt;=$H$8,1,0)</f>
        <v/>
      </c>
      <c r="O21" s="3">
        <f>$E$3</f>
        <v/>
      </c>
      <c r="P21" s="1">
        <f>O21-N21</f>
        <v/>
      </c>
      <c r="Q21" s="4">
        <f>$Q$18+$H$12*$P21*$H$10</f>
        <v/>
      </c>
      <c r="R21" s="4">
        <f>$R$18+$H$12*$P21*$K21</f>
        <v/>
      </c>
      <c r="S21" s="4">
        <f>$S$18+$H$12*$P21*$L21</f>
        <v/>
      </c>
    </row>
    <row r="22">
      <c r="B22" s="9" t="n"/>
      <c r="C22" s="9" t="n"/>
      <c r="D22" s="9" t="n"/>
      <c r="J22" s="5" t="n"/>
      <c r="K22" s="3" t="n">
        <v>0</v>
      </c>
      <c r="L22" s="3" t="n">
        <v>1</v>
      </c>
      <c r="M22" s="6">
        <f>($H$10*$Q$21)+(K22*$R$21)+(L22*$S$21)</f>
        <v/>
      </c>
      <c r="N22" s="1">
        <f>IF(M22&gt;=$H$8,1,0)</f>
        <v/>
      </c>
      <c r="O22" s="3">
        <f>$E$4</f>
        <v/>
      </c>
      <c r="P22" s="1">
        <f>O22-N22</f>
        <v/>
      </c>
      <c r="Q22" s="4">
        <f>$Q$21+$H$12*$P22*$H$10</f>
        <v/>
      </c>
      <c r="R22" s="4">
        <f>$R$21+$H$12*$P22*$K22</f>
        <v/>
      </c>
      <c r="S22" s="4">
        <f>$S$21+$H$12*$P22*$L22</f>
        <v/>
      </c>
    </row>
    <row r="23">
      <c r="J23" s="5" t="n"/>
      <c r="K23" s="3" t="n">
        <v>1</v>
      </c>
      <c r="L23" s="3" t="n">
        <v>0</v>
      </c>
      <c r="M23" s="6">
        <f>($H$10*$Q$22)+(K23*$R$22)+(L23*$S$22)</f>
        <v/>
      </c>
      <c r="N23" s="1">
        <f>IF(M23&gt;=$H$8,1,0)</f>
        <v/>
      </c>
      <c r="O23" s="3">
        <f>$E$5</f>
        <v/>
      </c>
      <c r="P23" s="1">
        <f>O23-N23</f>
        <v/>
      </c>
      <c r="Q23" s="4">
        <f>$Q$22+$H$12*$P23*$H$10</f>
        <v/>
      </c>
      <c r="R23" s="4">
        <f>$R$22+$H$12*$P23*$K23</f>
        <v/>
      </c>
      <c r="S23" s="4">
        <f>$S$22+$H$12*$P23*$L23</f>
        <v/>
      </c>
    </row>
    <row r="24">
      <c r="B24" s="2" t="inlineStr">
        <is>
          <t>ACTIVATION FUNCTION (STEP)</t>
        </is>
      </c>
      <c r="C24" s="5" t="n"/>
      <c r="D24" s="5" t="n"/>
      <c r="J24" s="5" t="n"/>
      <c r="K24" s="3" t="n">
        <v>1</v>
      </c>
      <c r="L24" s="3" t="n">
        <v>1</v>
      </c>
      <c r="M24" s="6">
        <f>($H$10*$Q$23)+(K24*$R$23)+(L24*$S$23)</f>
        <v/>
      </c>
      <c r="N24" s="1">
        <f>IF(M24&gt;=$H$8,1,0)</f>
        <v/>
      </c>
      <c r="O24" s="3">
        <f>$E$6</f>
        <v/>
      </c>
      <c r="P24" s="1">
        <f>O24-N24</f>
        <v/>
      </c>
      <c r="Q24" s="4">
        <f>$Q$23+$H$12*$P24*$H$10</f>
        <v/>
      </c>
      <c r="R24" s="4">
        <f>$R$23+$H$12*$P24*$K24</f>
        <v/>
      </c>
      <c r="S24" s="4">
        <f>$S$23+$H$12*$P24*$L24</f>
        <v/>
      </c>
    </row>
    <row r="25">
      <c r="B25" s="9" t="n"/>
      <c r="C25" s="9" t="n"/>
      <c r="D25" s="9" t="n"/>
    </row>
    <row r="26">
      <c r="B26" s="9" t="n"/>
      <c r="C26" s="9" t="n"/>
      <c r="D26" s="9" t="n"/>
      <c r="J26" s="2" t="inlineStr">
        <is>
          <t>EPOCH 5</t>
        </is>
      </c>
      <c r="K26" s="2" t="inlineStr">
        <is>
          <t>X1</t>
        </is>
      </c>
      <c r="L26" s="2" t="inlineStr">
        <is>
          <t>X2</t>
        </is>
      </c>
      <c r="M26" s="2" t="inlineStr">
        <is>
          <t>SUM</t>
        </is>
      </c>
      <c r="N26" s="2" t="inlineStr">
        <is>
          <t>OUTPUT</t>
        </is>
      </c>
      <c r="O26" s="2" t="inlineStr">
        <is>
          <t>TARGET</t>
        </is>
      </c>
      <c r="P26" s="2" t="inlineStr">
        <is>
          <t>ERROR</t>
        </is>
      </c>
      <c r="Q26" s="2" t="inlineStr">
        <is>
          <t>W1</t>
        </is>
      </c>
      <c r="R26" s="2" t="inlineStr">
        <is>
          <t>W2</t>
        </is>
      </c>
      <c r="S26" s="2" t="inlineStr">
        <is>
          <t>W3</t>
        </is>
      </c>
    </row>
    <row r="27">
      <c r="B27" s="9" t="n"/>
      <c r="C27" s="9" t="n"/>
      <c r="D27" s="9" t="n"/>
      <c r="J27" s="5" t="n"/>
      <c r="K27" s="3" t="n">
        <v>0</v>
      </c>
      <c r="L27" s="3" t="n">
        <v>0</v>
      </c>
      <c r="M27" s="6">
        <f>($H$10*$Q$24)+(K27*$R$24)+(L27*$S$24)</f>
        <v/>
      </c>
      <c r="N27" s="1">
        <f>IF(M27&gt;=$H$8,1,0)</f>
        <v/>
      </c>
      <c r="O27" s="3">
        <f>$E$3</f>
        <v/>
      </c>
      <c r="P27" s="1">
        <f>O27-N27</f>
        <v/>
      </c>
      <c r="Q27" s="4">
        <f>$Q$24+$H$12*$P27*$H$10</f>
        <v/>
      </c>
      <c r="R27" s="4">
        <f>$R$24+$H$12*$P27*$K27</f>
        <v/>
      </c>
      <c r="S27" s="4">
        <f>$S$24+$H$12*$P27*$L27</f>
        <v/>
      </c>
    </row>
    <row r="28">
      <c r="J28" s="5" t="n"/>
      <c r="K28" s="3" t="n">
        <v>0</v>
      </c>
      <c r="L28" s="3" t="n">
        <v>1</v>
      </c>
      <c r="M28" s="6">
        <f>($H$10*$Q$27)+(K28*$R$27)+(L28*$S$27)</f>
        <v/>
      </c>
      <c r="N28" s="1">
        <f>IF(M28&gt;=$H$8,1,0)</f>
        <v/>
      </c>
      <c r="O28" s="3">
        <f>$E$4</f>
        <v/>
      </c>
      <c r="P28" s="1">
        <f>O28-N28</f>
        <v/>
      </c>
      <c r="Q28" s="4">
        <f>$Q$27+$H$12*$P28*$H$10</f>
        <v/>
      </c>
      <c r="R28" s="4">
        <f>$R$27+$H$12*$P28*$K28</f>
        <v/>
      </c>
      <c r="S28" s="4">
        <f>$S$27+$H$12*$P28*$L28</f>
        <v/>
      </c>
    </row>
    <row r="29">
      <c r="J29" s="5" t="n"/>
      <c r="K29" s="3" t="n">
        <v>1</v>
      </c>
      <c r="L29" s="3" t="n">
        <v>0</v>
      </c>
      <c r="M29" s="6">
        <f>($H$10*$Q$28)+(K29*$R$28)+(L29*$S$28)</f>
        <v/>
      </c>
      <c r="N29" s="1">
        <f>IF(M29&gt;=$H$8,1,0)</f>
        <v/>
      </c>
      <c r="O29" s="3">
        <f>$E$5</f>
        <v/>
      </c>
      <c r="P29" s="1">
        <f>O29-N29</f>
        <v/>
      </c>
      <c r="Q29" s="4">
        <f>$Q$28+$H$12*$P29*$H$10</f>
        <v/>
      </c>
      <c r="R29" s="4">
        <f>$R$28+$H$12*$P29*$K29</f>
        <v/>
      </c>
      <c r="S29" s="4">
        <f>$S$28+$H$12*$P29*$L29</f>
        <v/>
      </c>
    </row>
    <row r="30">
      <c r="J30" s="5" t="n"/>
      <c r="K30" s="3" t="n">
        <v>1</v>
      </c>
      <c r="L30" s="3" t="n">
        <v>1</v>
      </c>
      <c r="M30" s="6">
        <f>($H$10*$Q$29)+(K30*$R$29)+(L30*$S$29)</f>
        <v/>
      </c>
      <c r="N30" s="1">
        <f>IF(M30&gt;=$H$8,1,0)</f>
        <v/>
      </c>
      <c r="O30" s="3">
        <f>$E$6</f>
        <v/>
      </c>
      <c r="P30" s="1">
        <f>O30-N30</f>
        <v/>
      </c>
      <c r="Q30" s="4">
        <f>$Q$29+$H$12*$P30*$H$10</f>
        <v/>
      </c>
      <c r="R30" s="4">
        <f>$R$29+$H$12*$P30*$K30</f>
        <v/>
      </c>
      <c r="S30" s="4">
        <f>$S$29+$H$12*$P30*$L30</f>
        <v/>
      </c>
    </row>
    <row r="32">
      <c r="B32" s="2" t="inlineStr">
        <is>
          <t>ARSITEKTUR JARINGAN</t>
        </is>
      </c>
      <c r="C32" s="5" t="n"/>
      <c r="D32" s="5" t="n"/>
      <c r="F32" s="2" t="inlineStr">
        <is>
          <t>WEIGHT AKHIR</t>
        </is>
      </c>
      <c r="G32" s="2" t="inlineStr">
        <is>
          <t>NILAI</t>
        </is>
      </c>
    </row>
    <row r="33" ht="24" customHeight="1">
      <c r="B33" s="9" t="n"/>
      <c r="C33" s="9" t="n"/>
      <c r="D33" s="9" t="n"/>
      <c r="F33" s="3" t="inlineStr">
        <is>
          <t>W1</t>
        </is>
      </c>
      <c r="G33" s="4">
        <f>Q30</f>
        <v/>
      </c>
    </row>
    <row r="34" ht="24" customHeight="1">
      <c r="B34" s="9" t="n"/>
      <c r="C34" s="9" t="n"/>
      <c r="D34" s="9" t="n"/>
      <c r="F34" s="3" t="inlineStr">
        <is>
          <t>W2</t>
        </is>
      </c>
      <c r="G34" s="4">
        <f>R30</f>
        <v/>
      </c>
    </row>
    <row r="35" ht="24" customHeight="1">
      <c r="B35" s="9" t="n"/>
      <c r="C35" s="9" t="n"/>
      <c r="D35" s="9" t="n"/>
      <c r="F35" s="3" t="inlineStr">
        <is>
          <t>W3</t>
        </is>
      </c>
      <c r="G35" s="4">
        <f>S30</f>
        <v/>
      </c>
    </row>
    <row r="36" ht="24" customHeight="1">
      <c r="B36" s="9" t="n"/>
      <c r="C36" s="9" t="n"/>
      <c r="D36" s="9" t="n"/>
    </row>
    <row r="37" ht="24" customHeight="1">
      <c r="B37" s="9" t="n"/>
      <c r="C37" s="9" t="n"/>
      <c r="D37" s="9" t="n"/>
    </row>
    <row r="38" ht="24" customHeight="1">
      <c r="B38" s="9" t="n"/>
      <c r="C38" s="9" t="n"/>
      <c r="D38" s="9" t="n"/>
    </row>
    <row r="40">
      <c r="B40" s="2" t="inlineStr">
        <is>
          <t>CATATAN</t>
        </is>
      </c>
      <c r="C40" s="10" t="inlineStr">
        <is>
          <t>XOR bukan linearly separable, sehingga ERROR tidak pernah nol dan bobot terus berosilasi. Single Layer Perceptron mustahil konvergen berapa pun jumlah epoch-nya.</t>
        </is>
      </c>
      <c r="D40" s="9" t="n"/>
    </row>
    <row r="41">
      <c r="C41" s="9" t="n"/>
      <c r="D41" s="9" t="n"/>
    </row>
    <row r="42">
      <c r="C42" s="9" t="n"/>
      <c r="D42" s="9" t="n"/>
    </row>
    <row r="43">
      <c r="C43" s="9" t="n"/>
      <c r="D43" s="9" t="n"/>
    </row>
    <row r="44">
      <c r="C44" s="9" t="n"/>
      <c r="D44" s="9" t="n"/>
    </row>
  </sheetData>
  <mergeCells count="16">
    <mergeCell ref="B1:E1"/>
    <mergeCell ref="B21:D22"/>
    <mergeCell ref="B33:D38"/>
    <mergeCell ref="J2:J6"/>
    <mergeCell ref="J20:J24"/>
    <mergeCell ref="J26:J30"/>
    <mergeCell ref="B32:D32"/>
    <mergeCell ref="J14:J18"/>
    <mergeCell ref="B8:B14"/>
    <mergeCell ref="C40:D44"/>
    <mergeCell ref="J8:J12"/>
    <mergeCell ref="B17:D18"/>
    <mergeCell ref="B24:D24"/>
    <mergeCell ref="B16:D16"/>
    <mergeCell ref="B20:D20"/>
    <mergeCell ref="B25:D2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I50"/>
  <sheetViews>
    <sheetView showGridLines="0" workbookViewId="0">
      <selection activeCell="A1" sqref="A1"/>
    </sheetView>
  </sheetViews>
  <sheetFormatPr baseColWidth="8" defaultRowHeight="15"/>
  <cols>
    <col width="9" customWidth="1" min="2" max="2"/>
    <col width="10" customWidth="1" min="3" max="3"/>
    <col width="44" customWidth="1" min="4" max="4"/>
    <col width="9" customWidth="1" min="5" max="5"/>
    <col width="3" customWidth="1" min="6" max="6"/>
    <col width="11" customWidth="1" min="7" max="7"/>
    <col width="12" customWidth="1" min="8" max="8"/>
    <col width="12" customWidth="1" min="9" max="9"/>
    <col width="12" customWidth="1" min="10" max="10"/>
    <col width="10" customWidth="1" min="11" max="11"/>
    <col width="11" customWidth="1" min="12" max="12"/>
    <col width="11" customWidth="1" min="13" max="13"/>
    <col width="12" customWidth="1" min="14" max="14"/>
    <col width="11" customWidth="1" min="15" max="15"/>
    <col width="12" customWidth="1" min="16" max="16"/>
    <col width="11" customWidth="1" min="17" max="17"/>
    <col width="12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5" customWidth="1" min="35" max="35"/>
  </cols>
  <sheetData>
    <row r="1">
      <c r="B1" s="1" t="inlineStr">
        <is>
          <t>XOR - MULTI LAYER</t>
        </is>
      </c>
      <c r="G1" s="2" t="inlineStr">
        <is>
          <t>BOBOT AWAL</t>
        </is>
      </c>
      <c r="H1" s="5" t="n"/>
      <c r="I1" s="5" t="n"/>
      <c r="J1" s="5" t="n"/>
    </row>
    <row r="2">
      <c r="B2" s="2" t="inlineStr">
        <is>
          <t>X1</t>
        </is>
      </c>
      <c r="C2" s="2" t="inlineStr">
        <is>
          <t>X2</t>
        </is>
      </c>
      <c r="D2" s="2" t="inlineStr">
        <is>
          <t>XOR</t>
        </is>
      </c>
      <c r="E2" s="2" t="inlineStr">
        <is>
          <t>Y</t>
        </is>
      </c>
      <c r="G2" s="2" t="inlineStr">
        <is>
          <t>NEURON</t>
        </is>
      </c>
      <c r="H2" s="2" t="inlineStr">
        <is>
          <t>W1 (bias)</t>
        </is>
      </c>
      <c r="I2" s="2" t="inlineStr">
        <is>
          <t>W2</t>
        </is>
      </c>
      <c r="J2" s="2" t="inlineStr">
        <is>
          <t>W3</t>
        </is>
      </c>
      <c r="K2" s="2" t="inlineStr">
        <is>
          <t>EPOCH 1</t>
        </is>
      </c>
      <c r="L2" s="2" t="inlineStr">
        <is>
          <t>X1</t>
        </is>
      </c>
      <c r="M2" s="2" t="inlineStr">
        <is>
          <t>X2</t>
        </is>
      </c>
      <c r="N2" s="2" t="inlineStr">
        <is>
          <t>SUM H1</t>
        </is>
      </c>
      <c r="O2" s="2" t="inlineStr">
        <is>
          <t>H1</t>
        </is>
      </c>
      <c r="P2" s="2" t="inlineStr">
        <is>
          <t>SUM H2</t>
        </is>
      </c>
      <c r="Q2" s="2" t="inlineStr">
        <is>
          <t>H2</t>
        </is>
      </c>
      <c r="R2" s="2" t="inlineStr">
        <is>
          <t>SUM C</t>
        </is>
      </c>
      <c r="S2" s="2" t="inlineStr">
        <is>
          <t>C</t>
        </is>
      </c>
      <c r="T2" s="2" t="inlineStr">
        <is>
          <t>TARGET</t>
        </is>
      </c>
      <c r="U2" s="2" t="inlineStr">
        <is>
          <t>ERROR</t>
        </is>
      </c>
      <c r="V2" s="2" t="inlineStr">
        <is>
          <t>SE</t>
        </is>
      </c>
      <c r="W2" s="2" t="inlineStr">
        <is>
          <t>δC</t>
        </is>
      </c>
      <c r="X2" s="2" t="inlineStr">
        <is>
          <t>δH1</t>
        </is>
      </c>
      <c r="Y2" s="2" t="inlineStr">
        <is>
          <t>δH2</t>
        </is>
      </c>
      <c r="Z2" s="2" t="inlineStr">
        <is>
          <t>W1 H1</t>
        </is>
      </c>
      <c r="AA2" s="2" t="inlineStr">
        <is>
          <t>W2 H1</t>
        </is>
      </c>
      <c r="AB2" s="2" t="inlineStr">
        <is>
          <t>W3 H1</t>
        </is>
      </c>
      <c r="AC2" s="2" t="inlineStr">
        <is>
          <t>W1 H2</t>
        </is>
      </c>
      <c r="AD2" s="2" t="inlineStr">
        <is>
          <t>W2 H2</t>
        </is>
      </c>
      <c r="AE2" s="2" t="inlineStr">
        <is>
          <t>W3 H2</t>
        </is>
      </c>
      <c r="AF2" s="2" t="inlineStr">
        <is>
          <t>W1 C</t>
        </is>
      </c>
      <c r="AG2" s="2" t="inlineStr">
        <is>
          <t>W2 C</t>
        </is>
      </c>
      <c r="AH2" s="2" t="inlineStr">
        <is>
          <t>W3 C</t>
        </is>
      </c>
      <c r="AI2" s="2" t="inlineStr">
        <is>
          <t>MSE</t>
        </is>
      </c>
    </row>
    <row r="3">
      <c r="B3" s="3" t="n">
        <v>0</v>
      </c>
      <c r="C3" s="3" t="n">
        <v>0</v>
      </c>
      <c r="D3" s="3">
        <f>OR(AND(B3,NOT(C3)),AND(C3,NOT(B3)))</f>
        <v/>
      </c>
      <c r="E3" s="3">
        <f>IF(D3, 1,0)</f>
        <v/>
      </c>
      <c r="G3" s="1" t="inlineStr">
        <is>
          <t>H1</t>
        </is>
      </c>
      <c r="H3" s="4" t="n">
        <v>-0.2490763762550599</v>
      </c>
      <c r="I3" s="4" t="n">
        <v>0.1768162411105584</v>
      </c>
      <c r="J3" s="4" t="n">
        <v>-0.3835762968334687</v>
      </c>
      <c r="K3" s="5" t="n"/>
      <c r="L3" s="3" t="n">
        <v>0</v>
      </c>
      <c r="M3" s="3" t="n">
        <v>0</v>
      </c>
      <c r="N3" s="6">
        <f>($H$8*$H$3)+(L3*$I$3)+(M3*$J$3)</f>
        <v/>
      </c>
      <c r="O3" s="4">
        <f>1/(1+EXP(-N3))</f>
        <v/>
      </c>
      <c r="P3" s="6">
        <f>($H$8*$H$4)+(L3*$I$4)+(M3*$J$4)</f>
        <v/>
      </c>
      <c r="Q3" s="4">
        <f>1/(1+EXP(-P3))</f>
        <v/>
      </c>
      <c r="R3" s="6">
        <f>($H$8*$H$5)+(O3*$I$5)+(Q3*$J$5)</f>
        <v/>
      </c>
      <c r="S3" s="11">
        <f>1/(1+EXP(-R3))</f>
        <v/>
      </c>
      <c r="T3" s="1">
        <f>$E$3</f>
        <v/>
      </c>
      <c r="U3" s="12">
        <f>T3-S3</f>
        <v/>
      </c>
      <c r="V3" s="6">
        <f>U3^2</f>
        <v/>
      </c>
      <c r="W3" s="6">
        <f>S3*(1-S3)*U3</f>
        <v/>
      </c>
      <c r="X3" s="6">
        <f>O3*(1-O3)*$I$5*W3</f>
        <v/>
      </c>
      <c r="Y3" s="6">
        <f>Q3*(1-Q3)*$J$5*W3</f>
        <v/>
      </c>
      <c r="Z3" s="4">
        <f>$H$3+$H$9*$X3*$H$8</f>
        <v/>
      </c>
      <c r="AA3" s="4">
        <f>$I$3+$H$9*$X3*$L3</f>
        <v/>
      </c>
      <c r="AB3" s="4">
        <f>$J$3+$H$9*$X3*$M3</f>
        <v/>
      </c>
      <c r="AC3" s="4">
        <f>$H$4+$H$9*$Y3*$H$8</f>
        <v/>
      </c>
      <c r="AD3" s="4">
        <f>$I$4+$H$9*$Y3*$L3</f>
        <v/>
      </c>
      <c r="AE3" s="4">
        <f>$J$4+$H$9*$Y3*$M3</f>
        <v/>
      </c>
      <c r="AF3" s="4">
        <f>$H$5+$H$9*$W3*$H$8</f>
        <v/>
      </c>
      <c r="AG3" s="4">
        <f>$I$5+$H$9*$W3*$O3</f>
        <v/>
      </c>
      <c r="AH3" s="4">
        <f>$J$5+$H$9*$W3*$Q3</f>
        <v/>
      </c>
      <c r="AI3" s="13">
        <f>AVERAGE(V3:V6)</f>
        <v/>
      </c>
    </row>
    <row r="4">
      <c r="B4" s="3" t="n">
        <v>0</v>
      </c>
      <c r="C4" s="3" t="n">
        <v>1</v>
      </c>
      <c r="D4" s="3">
        <f>OR(AND(B4,NOT(C4)),AND(C4,NOT(B4)))</f>
        <v/>
      </c>
      <c r="E4" s="3">
        <f>IF(D4, 1,0)</f>
        <v/>
      </c>
      <c r="G4" s="1" t="inlineStr">
        <is>
          <t>H2</t>
        </is>
      </c>
      <c r="H4" s="4" t="n">
        <v>-0.4539041793273882</v>
      </c>
      <c r="I4" s="4" t="n">
        <v>-0.4565305143552479</v>
      </c>
      <c r="J4" s="4" t="n">
        <v>0.1038656889488131</v>
      </c>
      <c r="K4" s="5" t="n"/>
      <c r="L4" s="3" t="n">
        <v>0</v>
      </c>
      <c r="M4" s="3" t="n">
        <v>1</v>
      </c>
      <c r="N4" s="6">
        <f>($H$8*$Z$3)+(L4*$AA$3)+(M4*$AB$3)</f>
        <v/>
      </c>
      <c r="O4" s="4">
        <f>1/(1+EXP(-N4))</f>
        <v/>
      </c>
      <c r="P4" s="6">
        <f>($H$8*$AC$3)+(L4*$AD$3)+(M4*$AE$3)</f>
        <v/>
      </c>
      <c r="Q4" s="4">
        <f>1/(1+EXP(-P4))</f>
        <v/>
      </c>
      <c r="R4" s="6">
        <f>($H$8*$AF$3)+(O4*$AG$3)+(Q4*$AH$3)</f>
        <v/>
      </c>
      <c r="S4" s="11">
        <f>1/(1+EXP(-R4))</f>
        <v/>
      </c>
      <c r="T4" s="1">
        <f>$E$4</f>
        <v/>
      </c>
      <c r="U4" s="12">
        <f>T4-S4</f>
        <v/>
      </c>
      <c r="V4" s="6">
        <f>U4^2</f>
        <v/>
      </c>
      <c r="W4" s="6">
        <f>S4*(1-S4)*U4</f>
        <v/>
      </c>
      <c r="X4" s="6">
        <f>O4*(1-O4)*$AG$3*W4</f>
        <v/>
      </c>
      <c r="Y4" s="6">
        <f>Q4*(1-Q4)*$AH$3*W4</f>
        <v/>
      </c>
      <c r="Z4" s="4">
        <f>$Z$3+$H$9*$X4*$H$8</f>
        <v/>
      </c>
      <c r="AA4" s="4">
        <f>$AA$3+$H$9*$X4*$L4</f>
        <v/>
      </c>
      <c r="AB4" s="4">
        <f>$AB$3+$H$9*$X4*$M4</f>
        <v/>
      </c>
      <c r="AC4" s="4">
        <f>$AC$3+$H$9*$Y4*$H$8</f>
        <v/>
      </c>
      <c r="AD4" s="4">
        <f>$AD$3+$H$9*$Y4*$L4</f>
        <v/>
      </c>
      <c r="AE4" s="4">
        <f>$AE$3+$H$9*$Y4*$M4</f>
        <v/>
      </c>
      <c r="AF4" s="4">
        <f>$AF$3+$H$9*$W4*$H$8</f>
        <v/>
      </c>
      <c r="AG4" s="4">
        <f>$AG$3+$H$9*$W4*$O4</f>
        <v/>
      </c>
      <c r="AH4" s="4">
        <f>$AH$3+$H$9*$W4*$Q4</f>
        <v/>
      </c>
      <c r="AI4" s="9" t="n"/>
    </row>
    <row r="5">
      <c r="B5" s="3" t="n">
        <v>1</v>
      </c>
      <c r="C5" s="3" t="n">
        <v>0</v>
      </c>
      <c r="D5" s="3">
        <f>OR(AND(B5,NOT(C5)),AND(C5,NOT(B5)))</f>
        <v/>
      </c>
      <c r="E5" s="3">
        <f>IF(D5, 1,0)</f>
        <v/>
      </c>
      <c r="G5" s="1" t="inlineStr">
        <is>
          <t>C</t>
        </is>
      </c>
      <c r="H5" s="4" t="n">
        <v>-0.3090693372202609</v>
      </c>
      <c r="I5" s="4" t="n">
        <v>0.1685157172603458</v>
      </c>
      <c r="J5" s="4" t="n">
        <v>0.4174478488708967</v>
      </c>
      <c r="K5" s="5" t="n"/>
      <c r="L5" s="3" t="n">
        <v>1</v>
      </c>
      <c r="M5" s="3" t="n">
        <v>0</v>
      </c>
      <c r="N5" s="6">
        <f>($H$8*$Z$4)+(L5*$AA$4)+(M5*$AB$4)</f>
        <v/>
      </c>
      <c r="O5" s="4">
        <f>1/(1+EXP(-N5))</f>
        <v/>
      </c>
      <c r="P5" s="6">
        <f>($H$8*$AC$4)+(L5*$AD$4)+(M5*$AE$4)</f>
        <v/>
      </c>
      <c r="Q5" s="4">
        <f>1/(1+EXP(-P5))</f>
        <v/>
      </c>
      <c r="R5" s="6">
        <f>($H$8*$AF$4)+(O5*$AG$4)+(Q5*$AH$4)</f>
        <v/>
      </c>
      <c r="S5" s="11">
        <f>1/(1+EXP(-R5))</f>
        <v/>
      </c>
      <c r="T5" s="1">
        <f>$E$5</f>
        <v/>
      </c>
      <c r="U5" s="12">
        <f>T5-S5</f>
        <v/>
      </c>
      <c r="V5" s="6">
        <f>U5^2</f>
        <v/>
      </c>
      <c r="W5" s="6">
        <f>S5*(1-S5)*U5</f>
        <v/>
      </c>
      <c r="X5" s="6">
        <f>O5*(1-O5)*$AG$4*W5</f>
        <v/>
      </c>
      <c r="Y5" s="6">
        <f>Q5*(1-Q5)*$AH$4*W5</f>
        <v/>
      </c>
      <c r="Z5" s="4">
        <f>$Z$4+$H$9*$X5*$H$8</f>
        <v/>
      </c>
      <c r="AA5" s="4">
        <f>$AA$4+$H$9*$X5*$L5</f>
        <v/>
      </c>
      <c r="AB5" s="4">
        <f>$AB$4+$H$9*$X5*$M5</f>
        <v/>
      </c>
      <c r="AC5" s="4">
        <f>$AC$4+$H$9*$Y5*$H$8</f>
        <v/>
      </c>
      <c r="AD5" s="4">
        <f>$AD$4+$H$9*$Y5*$L5</f>
        <v/>
      </c>
      <c r="AE5" s="4">
        <f>$AE$4+$H$9*$Y5*$M5</f>
        <v/>
      </c>
      <c r="AF5" s="4">
        <f>$AF$4+$H$9*$W5*$H$8</f>
        <v/>
      </c>
      <c r="AG5" s="4">
        <f>$AG$4+$H$9*$W5*$O5</f>
        <v/>
      </c>
      <c r="AH5" s="4">
        <f>$AH$4+$H$9*$W5*$Q5</f>
        <v/>
      </c>
      <c r="AI5" s="9" t="n"/>
    </row>
    <row r="6">
      <c r="B6" s="3" t="n">
        <v>1</v>
      </c>
      <c r="C6" s="3" t="n">
        <v>1</v>
      </c>
      <c r="D6" s="3">
        <f>OR(AND(B6,NOT(C6)),AND(C6,NOT(B6)))</f>
        <v/>
      </c>
      <c r="E6" s="3">
        <f>IF(D6, 1,0)</f>
        <v/>
      </c>
      <c r="G6" s="14" t="inlineStr">
        <is>
          <t>W2, W3 pada H1/H2 mengalikan X1, X2.
W2, W3 pada C mengalikan H1, H2.</t>
        </is>
      </c>
      <c r="H6" s="9" t="n"/>
      <c r="I6" s="9" t="n"/>
      <c r="J6" s="9" t="n"/>
      <c r="K6" s="5" t="n"/>
      <c r="L6" s="3" t="n">
        <v>1</v>
      </c>
      <c r="M6" s="3" t="n">
        <v>1</v>
      </c>
      <c r="N6" s="6">
        <f>($H$8*$Z$5)+(L6*$AA$5)+(M6*$AB$5)</f>
        <v/>
      </c>
      <c r="O6" s="4">
        <f>1/(1+EXP(-N6))</f>
        <v/>
      </c>
      <c r="P6" s="6">
        <f>($H$8*$AC$5)+(L6*$AD$5)+(M6*$AE$5)</f>
        <v/>
      </c>
      <c r="Q6" s="4">
        <f>1/(1+EXP(-P6))</f>
        <v/>
      </c>
      <c r="R6" s="6">
        <f>($H$8*$AF$5)+(O6*$AG$5)+(Q6*$AH$5)</f>
        <v/>
      </c>
      <c r="S6" s="11">
        <f>1/(1+EXP(-R6))</f>
        <v/>
      </c>
      <c r="T6" s="1">
        <f>$E$6</f>
        <v/>
      </c>
      <c r="U6" s="12">
        <f>T6-S6</f>
        <v/>
      </c>
      <c r="V6" s="6">
        <f>U6^2</f>
        <v/>
      </c>
      <c r="W6" s="6">
        <f>S6*(1-S6)*U6</f>
        <v/>
      </c>
      <c r="X6" s="6">
        <f>O6*(1-O6)*$AG$5*W6</f>
        <v/>
      </c>
      <c r="Y6" s="6">
        <f>Q6*(1-Q6)*$AH$5*W6</f>
        <v/>
      </c>
      <c r="Z6" s="4">
        <f>$Z$5+$H$9*$X6*$H$8</f>
        <v/>
      </c>
      <c r="AA6" s="4">
        <f>$AA$5+$H$9*$X6*$L6</f>
        <v/>
      </c>
      <c r="AB6" s="4">
        <f>$AB$5+$H$9*$X6*$M6</f>
        <v/>
      </c>
      <c r="AC6" s="4">
        <f>$AC$5+$H$9*$Y6*$H$8</f>
        <v/>
      </c>
      <c r="AD6" s="4">
        <f>$AD$5+$H$9*$Y6*$L6</f>
        <v/>
      </c>
      <c r="AE6" s="4">
        <f>$AE$5+$H$9*$Y6*$M6</f>
        <v/>
      </c>
      <c r="AF6" s="4">
        <f>$AF$5+$H$9*$W6*$H$8</f>
        <v/>
      </c>
      <c r="AG6" s="4">
        <f>$AG$5+$H$9*$W6*$O6</f>
        <v/>
      </c>
      <c r="AH6" s="4">
        <f>$AH$5+$H$9*$W6*$Q6</f>
        <v/>
      </c>
      <c r="AI6" s="9" t="n"/>
    </row>
    <row r="7">
      <c r="G7" s="9" t="n"/>
      <c r="H7" s="9" t="n"/>
      <c r="I7" s="9" t="n"/>
      <c r="J7" s="9" t="n"/>
    </row>
    <row r="8">
      <c r="B8" s="2" t="inlineStr">
        <is>
          <t>KET</t>
        </is>
      </c>
      <c r="C8" s="3" t="inlineStr">
        <is>
          <t>η</t>
        </is>
      </c>
      <c r="D8" s="7" t="inlineStr">
        <is>
          <t>Learning Rate (Ex: 0.5)</t>
        </is>
      </c>
      <c r="G8" s="2" t="inlineStr">
        <is>
          <t>BIAS</t>
        </is>
      </c>
      <c r="H8" s="8" t="n">
        <v>1</v>
      </c>
      <c r="K8" s="2" t="inlineStr">
        <is>
          <t>EPOCH 2</t>
        </is>
      </c>
      <c r="L8" s="2" t="inlineStr">
        <is>
          <t>X1</t>
        </is>
      </c>
      <c r="M8" s="2" t="inlineStr">
        <is>
          <t>X2</t>
        </is>
      </c>
      <c r="N8" s="2" t="inlineStr">
        <is>
          <t>SUM H1</t>
        </is>
      </c>
      <c r="O8" s="2" t="inlineStr">
        <is>
          <t>H1</t>
        </is>
      </c>
      <c r="P8" s="2" t="inlineStr">
        <is>
          <t>SUM H2</t>
        </is>
      </c>
      <c r="Q8" s="2" t="inlineStr">
        <is>
          <t>H2</t>
        </is>
      </c>
      <c r="R8" s="2" t="inlineStr">
        <is>
          <t>SUM C</t>
        </is>
      </c>
      <c r="S8" s="2" t="inlineStr">
        <is>
          <t>C</t>
        </is>
      </c>
      <c r="T8" s="2" t="inlineStr">
        <is>
          <t>TARGET</t>
        </is>
      </c>
      <c r="U8" s="2" t="inlineStr">
        <is>
          <t>ERROR</t>
        </is>
      </c>
      <c r="V8" s="2" t="inlineStr">
        <is>
          <t>SE</t>
        </is>
      </c>
      <c r="W8" s="2" t="inlineStr">
        <is>
          <t>δC</t>
        </is>
      </c>
      <c r="X8" s="2" t="inlineStr">
        <is>
          <t>δH1</t>
        </is>
      </c>
      <c r="Y8" s="2" t="inlineStr">
        <is>
          <t>δH2</t>
        </is>
      </c>
      <c r="Z8" s="2" t="inlineStr">
        <is>
          <t>W1 H1</t>
        </is>
      </c>
      <c r="AA8" s="2" t="inlineStr">
        <is>
          <t>W2 H1</t>
        </is>
      </c>
      <c r="AB8" s="2" t="inlineStr">
        <is>
          <t>W3 H1</t>
        </is>
      </c>
      <c r="AC8" s="2" t="inlineStr">
        <is>
          <t>W1 H2</t>
        </is>
      </c>
      <c r="AD8" s="2" t="inlineStr">
        <is>
          <t>W2 H2</t>
        </is>
      </c>
      <c r="AE8" s="2" t="inlineStr">
        <is>
          <t>W3 H2</t>
        </is>
      </c>
      <c r="AF8" s="2" t="inlineStr">
        <is>
          <t>W1 C</t>
        </is>
      </c>
      <c r="AG8" s="2" t="inlineStr">
        <is>
          <t>W2 C</t>
        </is>
      </c>
      <c r="AH8" s="2" t="inlineStr">
        <is>
          <t>W3 C</t>
        </is>
      </c>
      <c r="AI8" s="2" t="inlineStr">
        <is>
          <t>MSE</t>
        </is>
      </c>
    </row>
    <row r="9">
      <c r="B9" s="5" t="n"/>
      <c r="C9" s="3" t="inlineStr">
        <is>
          <t>t</t>
        </is>
      </c>
      <c r="D9" s="7" t="inlineStr">
        <is>
          <t>Target Output</t>
        </is>
      </c>
      <c r="G9" s="2" t="inlineStr">
        <is>
          <t>η</t>
        </is>
      </c>
      <c r="H9" s="8" t="n">
        <v>0.5</v>
      </c>
      <c r="K9" s="5" t="n"/>
      <c r="L9" s="3" t="n">
        <v>0</v>
      </c>
      <c r="M9" s="3" t="n">
        <v>0</v>
      </c>
      <c r="N9" s="6">
        <f>($H$8*$Z$6)+(L9*$AA$6)+(M9*$AB$6)</f>
        <v/>
      </c>
      <c r="O9" s="4">
        <f>1/(1+EXP(-N9))</f>
        <v/>
      </c>
      <c r="P9" s="6">
        <f>($H$8*$AC$6)+(L9*$AD$6)+(M9*$AE$6)</f>
        <v/>
      </c>
      <c r="Q9" s="4">
        <f>1/(1+EXP(-P9))</f>
        <v/>
      </c>
      <c r="R9" s="6">
        <f>($H$8*$AF$6)+(O9*$AG$6)+(Q9*$AH$6)</f>
        <v/>
      </c>
      <c r="S9" s="11">
        <f>1/(1+EXP(-R9))</f>
        <v/>
      </c>
      <c r="T9" s="1">
        <f>$E$3</f>
        <v/>
      </c>
      <c r="U9" s="12">
        <f>T9-S9</f>
        <v/>
      </c>
      <c r="V9" s="6">
        <f>U9^2</f>
        <v/>
      </c>
      <c r="W9" s="6">
        <f>S9*(1-S9)*U9</f>
        <v/>
      </c>
      <c r="X9" s="6">
        <f>O9*(1-O9)*$AG$6*W9</f>
        <v/>
      </c>
      <c r="Y9" s="6">
        <f>Q9*(1-Q9)*$AH$6*W9</f>
        <v/>
      </c>
      <c r="Z9" s="4">
        <f>$Z$6+$H$9*$X9*$H$8</f>
        <v/>
      </c>
      <c r="AA9" s="4">
        <f>$AA$6+$H$9*$X9*$L9</f>
        <v/>
      </c>
      <c r="AB9" s="4">
        <f>$AB$6+$H$9*$X9*$M9</f>
        <v/>
      </c>
      <c r="AC9" s="4">
        <f>$AC$6+$H$9*$Y9*$H$8</f>
        <v/>
      </c>
      <c r="AD9" s="4">
        <f>$AD$6+$H$9*$Y9*$L9</f>
        <v/>
      </c>
      <c r="AE9" s="4">
        <f>$AE$6+$H$9*$Y9*$M9</f>
        <v/>
      </c>
      <c r="AF9" s="4">
        <f>$AF$6+$H$9*$W9*$H$8</f>
        <v/>
      </c>
      <c r="AG9" s="4">
        <f>$AG$6+$H$9*$W9*$O9</f>
        <v/>
      </c>
      <c r="AH9" s="4">
        <f>$AH$6+$H$9*$W9*$Q9</f>
        <v/>
      </c>
      <c r="AI9" s="13">
        <f>AVERAGE(V9:V12)</f>
        <v/>
      </c>
    </row>
    <row r="10">
      <c r="B10" s="5" t="n"/>
      <c r="C10" s="3" t="inlineStr">
        <is>
          <t>H1, H2</t>
        </is>
      </c>
      <c r="D10" s="7" t="inlineStr">
        <is>
          <t>Output Hidden Layer (hasil sigmoid)</t>
        </is>
      </c>
      <c r="K10" s="5" t="n"/>
      <c r="L10" s="3" t="n">
        <v>0</v>
      </c>
      <c r="M10" s="3" t="n">
        <v>1</v>
      </c>
      <c r="N10" s="6">
        <f>($H$8*$Z$9)+(L10*$AA$9)+(M10*$AB$9)</f>
        <v/>
      </c>
      <c r="O10" s="4">
        <f>1/(1+EXP(-N10))</f>
        <v/>
      </c>
      <c r="P10" s="6">
        <f>($H$8*$AC$9)+(L10*$AD$9)+(M10*$AE$9)</f>
        <v/>
      </c>
      <c r="Q10" s="4">
        <f>1/(1+EXP(-P10))</f>
        <v/>
      </c>
      <c r="R10" s="6">
        <f>($H$8*$AF$9)+(O10*$AG$9)+(Q10*$AH$9)</f>
        <v/>
      </c>
      <c r="S10" s="11">
        <f>1/(1+EXP(-R10))</f>
        <v/>
      </c>
      <c r="T10" s="1">
        <f>$E$4</f>
        <v/>
      </c>
      <c r="U10" s="12">
        <f>T10-S10</f>
        <v/>
      </c>
      <c r="V10" s="6">
        <f>U10^2</f>
        <v/>
      </c>
      <c r="W10" s="6">
        <f>S10*(1-S10)*U10</f>
        <v/>
      </c>
      <c r="X10" s="6">
        <f>O10*(1-O10)*$AG$9*W10</f>
        <v/>
      </c>
      <c r="Y10" s="6">
        <f>Q10*(1-Q10)*$AH$9*W10</f>
        <v/>
      </c>
      <c r="Z10" s="4">
        <f>$Z$9+$H$9*$X10*$H$8</f>
        <v/>
      </c>
      <c r="AA10" s="4">
        <f>$AA$9+$H$9*$X10*$L10</f>
        <v/>
      </c>
      <c r="AB10" s="4">
        <f>$AB$9+$H$9*$X10*$M10</f>
        <v/>
      </c>
      <c r="AC10" s="4">
        <f>$AC$9+$H$9*$Y10*$H$8</f>
        <v/>
      </c>
      <c r="AD10" s="4">
        <f>$AD$9+$H$9*$Y10*$L10</f>
        <v/>
      </c>
      <c r="AE10" s="4">
        <f>$AE$9+$H$9*$Y10*$M10</f>
        <v/>
      </c>
      <c r="AF10" s="4">
        <f>$AF$9+$H$9*$W10*$H$8</f>
        <v/>
      </c>
      <c r="AG10" s="4">
        <f>$AG$9+$H$9*$W10*$O10</f>
        <v/>
      </c>
      <c r="AH10" s="4">
        <f>$AH$9+$H$9*$W10*$Q10</f>
        <v/>
      </c>
      <c r="AI10" s="9" t="n"/>
    </row>
    <row r="11">
      <c r="B11" s="5" t="n"/>
      <c r="C11" s="3" t="inlineStr">
        <is>
          <t>C</t>
        </is>
      </c>
      <c r="D11" s="7" t="inlineStr">
        <is>
          <t>Output jaringan (Output Layer)</t>
        </is>
      </c>
      <c r="G11" s="2" t="inlineStr">
        <is>
          <t>BOBOT AKHIR</t>
        </is>
      </c>
      <c r="H11" s="5" t="n"/>
      <c r="I11" s="5" t="n"/>
      <c r="J11" s="5" t="n"/>
      <c r="K11" s="5" t="n"/>
      <c r="L11" s="3" t="n">
        <v>1</v>
      </c>
      <c r="M11" s="3" t="n">
        <v>0</v>
      </c>
      <c r="N11" s="6">
        <f>($H$8*$Z$10)+(L11*$AA$10)+(M11*$AB$10)</f>
        <v/>
      </c>
      <c r="O11" s="4">
        <f>1/(1+EXP(-N11))</f>
        <v/>
      </c>
      <c r="P11" s="6">
        <f>($H$8*$AC$10)+(L11*$AD$10)+(M11*$AE$10)</f>
        <v/>
      </c>
      <c r="Q11" s="4">
        <f>1/(1+EXP(-P11))</f>
        <v/>
      </c>
      <c r="R11" s="6">
        <f>($H$8*$AF$10)+(O11*$AG$10)+(Q11*$AH$10)</f>
        <v/>
      </c>
      <c r="S11" s="11">
        <f>1/(1+EXP(-R11))</f>
        <v/>
      </c>
      <c r="T11" s="1">
        <f>$E$5</f>
        <v/>
      </c>
      <c r="U11" s="12">
        <f>T11-S11</f>
        <v/>
      </c>
      <c r="V11" s="6">
        <f>U11^2</f>
        <v/>
      </c>
      <c r="W11" s="6">
        <f>S11*(1-S11)*U11</f>
        <v/>
      </c>
      <c r="X11" s="6">
        <f>O11*(1-O11)*$AG$10*W11</f>
        <v/>
      </c>
      <c r="Y11" s="6">
        <f>Q11*(1-Q11)*$AH$10*W11</f>
        <v/>
      </c>
      <c r="Z11" s="4">
        <f>$Z$10+$H$9*$X11*$H$8</f>
        <v/>
      </c>
      <c r="AA11" s="4">
        <f>$AA$10+$H$9*$X11*$L11</f>
        <v/>
      </c>
      <c r="AB11" s="4">
        <f>$AB$10+$H$9*$X11*$M11</f>
        <v/>
      </c>
      <c r="AC11" s="4">
        <f>$AC$10+$H$9*$Y11*$H$8</f>
        <v/>
      </c>
      <c r="AD11" s="4">
        <f>$AD$10+$H$9*$Y11*$L11</f>
        <v/>
      </c>
      <c r="AE11" s="4">
        <f>$AE$10+$H$9*$Y11*$M11</f>
        <v/>
      </c>
      <c r="AF11" s="4">
        <f>$AF$10+$H$9*$W11*$H$8</f>
        <v/>
      </c>
      <c r="AG11" s="4">
        <f>$AG$10+$H$9*$W11*$O11</f>
        <v/>
      </c>
      <c r="AH11" s="4">
        <f>$AH$10+$H$9*$W11*$Q11</f>
        <v/>
      </c>
      <c r="AI11" s="9" t="n"/>
    </row>
    <row r="12">
      <c r="B12" s="5" t="n"/>
      <c r="C12" s="3" t="inlineStr">
        <is>
          <t>x_i</t>
        </is>
      </c>
      <c r="D12" s="7" t="inlineStr">
        <is>
          <t>input ke-i  (x0 = Bias = 1)</t>
        </is>
      </c>
      <c r="G12" s="2" t="inlineStr">
        <is>
          <t>NEURON</t>
        </is>
      </c>
      <c r="H12" s="2" t="inlineStr">
        <is>
          <t>W1 (bias)</t>
        </is>
      </c>
      <c r="I12" s="2" t="inlineStr">
        <is>
          <t>W2</t>
        </is>
      </c>
      <c r="J12" s="2" t="inlineStr">
        <is>
          <t>W3</t>
        </is>
      </c>
      <c r="K12" s="5" t="n"/>
      <c r="L12" s="3" t="n">
        <v>1</v>
      </c>
      <c r="M12" s="3" t="n">
        <v>1</v>
      </c>
      <c r="N12" s="6">
        <f>($H$8*$Z$11)+(L12*$AA$11)+(M12*$AB$11)</f>
        <v/>
      </c>
      <c r="O12" s="4">
        <f>1/(1+EXP(-N12))</f>
        <v/>
      </c>
      <c r="P12" s="6">
        <f>($H$8*$AC$11)+(L12*$AD$11)+(M12*$AE$11)</f>
        <v/>
      </c>
      <c r="Q12" s="4">
        <f>1/(1+EXP(-P12))</f>
        <v/>
      </c>
      <c r="R12" s="6">
        <f>($H$8*$AF$11)+(O12*$AG$11)+(Q12*$AH$11)</f>
        <v/>
      </c>
      <c r="S12" s="11">
        <f>1/(1+EXP(-R12))</f>
        <v/>
      </c>
      <c r="T12" s="1">
        <f>$E$6</f>
        <v/>
      </c>
      <c r="U12" s="12">
        <f>T12-S12</f>
        <v/>
      </c>
      <c r="V12" s="6">
        <f>U12^2</f>
        <v/>
      </c>
      <c r="W12" s="6">
        <f>S12*(1-S12)*U12</f>
        <v/>
      </c>
      <c r="X12" s="6">
        <f>O12*(1-O12)*$AG$11*W12</f>
        <v/>
      </c>
      <c r="Y12" s="6">
        <f>Q12*(1-Q12)*$AH$11*W12</f>
        <v/>
      </c>
      <c r="Z12" s="4">
        <f>$Z$11+$H$9*$X12*$H$8</f>
        <v/>
      </c>
      <c r="AA12" s="4">
        <f>$AA$11+$H$9*$X12*$L12</f>
        <v/>
      </c>
      <c r="AB12" s="4">
        <f>$AB$11+$H$9*$X12*$M12</f>
        <v/>
      </c>
      <c r="AC12" s="4">
        <f>$AC$11+$H$9*$Y12*$H$8</f>
        <v/>
      </c>
      <c r="AD12" s="4">
        <f>$AD$11+$H$9*$Y12*$L12</f>
        <v/>
      </c>
      <c r="AE12" s="4">
        <f>$AE$11+$H$9*$Y12*$M12</f>
        <v/>
      </c>
      <c r="AF12" s="4">
        <f>$AF$11+$H$9*$W12*$H$8</f>
        <v/>
      </c>
      <c r="AG12" s="4">
        <f>$AG$11+$H$9*$W12*$O12</f>
        <v/>
      </c>
      <c r="AH12" s="4">
        <f>$AH$11+$H$9*$W12*$Q12</f>
        <v/>
      </c>
      <c r="AI12" s="9" t="n"/>
    </row>
    <row r="13">
      <c r="B13" s="5" t="n"/>
      <c r="C13" s="3" t="inlineStr">
        <is>
          <t>δ</t>
        </is>
      </c>
      <c r="D13" s="7" t="inlineStr">
        <is>
          <t>Gradien error tiap neuron</t>
        </is>
      </c>
      <c r="G13" s="1" t="inlineStr">
        <is>
          <t>H1</t>
        </is>
      </c>
      <c r="H13" s="4">
        <f>Z30</f>
        <v/>
      </c>
      <c r="I13" s="4">
        <f>AA30</f>
        <v/>
      </c>
      <c r="J13" s="4">
        <f>AB30</f>
        <v/>
      </c>
    </row>
    <row r="14">
      <c r="B14" s="5" t="n"/>
      <c r="C14" s="3" t="inlineStr">
        <is>
          <t>SE / MSE</t>
        </is>
      </c>
      <c r="D14" s="7" t="inlineStr">
        <is>
          <t>Squared Error / rata-rata SE dalam 1 epoch</t>
        </is>
      </c>
      <c r="G14" s="1" t="inlineStr">
        <is>
          <t>H2</t>
        </is>
      </c>
      <c r="H14" s="4">
        <f>AC30</f>
        <v/>
      </c>
      <c r="I14" s="4">
        <f>AD30</f>
        <v/>
      </c>
      <c r="J14" s="4">
        <f>AE30</f>
        <v/>
      </c>
      <c r="K14" s="2" t="inlineStr">
        <is>
          <t>EPOCH 3</t>
        </is>
      </c>
      <c r="L14" s="2" t="inlineStr">
        <is>
          <t>X1</t>
        </is>
      </c>
      <c r="M14" s="2" t="inlineStr">
        <is>
          <t>X2</t>
        </is>
      </c>
      <c r="N14" s="2" t="inlineStr">
        <is>
          <t>SUM H1</t>
        </is>
      </c>
      <c r="O14" s="2" t="inlineStr">
        <is>
          <t>H1</t>
        </is>
      </c>
      <c r="P14" s="2" t="inlineStr">
        <is>
          <t>SUM H2</t>
        </is>
      </c>
      <c r="Q14" s="2" t="inlineStr">
        <is>
          <t>H2</t>
        </is>
      </c>
      <c r="R14" s="2" t="inlineStr">
        <is>
          <t>SUM C</t>
        </is>
      </c>
      <c r="S14" s="2" t="inlineStr">
        <is>
          <t>C</t>
        </is>
      </c>
      <c r="T14" s="2" t="inlineStr">
        <is>
          <t>TARGET</t>
        </is>
      </c>
      <c r="U14" s="2" t="inlineStr">
        <is>
          <t>ERROR</t>
        </is>
      </c>
      <c r="V14" s="2" t="inlineStr">
        <is>
          <t>SE</t>
        </is>
      </c>
      <c r="W14" s="2" t="inlineStr">
        <is>
          <t>δC</t>
        </is>
      </c>
      <c r="X14" s="2" t="inlineStr">
        <is>
          <t>δH1</t>
        </is>
      </c>
      <c r="Y14" s="2" t="inlineStr">
        <is>
          <t>δH2</t>
        </is>
      </c>
      <c r="Z14" s="2" t="inlineStr">
        <is>
          <t>W1 H1</t>
        </is>
      </c>
      <c r="AA14" s="2" t="inlineStr">
        <is>
          <t>W2 H1</t>
        </is>
      </c>
      <c r="AB14" s="2" t="inlineStr">
        <is>
          <t>W3 H1</t>
        </is>
      </c>
      <c r="AC14" s="2" t="inlineStr">
        <is>
          <t>W1 H2</t>
        </is>
      </c>
      <c r="AD14" s="2" t="inlineStr">
        <is>
          <t>W2 H2</t>
        </is>
      </c>
      <c r="AE14" s="2" t="inlineStr">
        <is>
          <t>W3 H2</t>
        </is>
      </c>
      <c r="AF14" s="2" t="inlineStr">
        <is>
          <t>W1 C</t>
        </is>
      </c>
      <c r="AG14" s="2" t="inlineStr">
        <is>
          <t>W2 C</t>
        </is>
      </c>
      <c r="AH14" s="2" t="inlineStr">
        <is>
          <t>W3 C</t>
        </is>
      </c>
      <c r="AI14" s="2" t="inlineStr">
        <is>
          <t>MSE</t>
        </is>
      </c>
    </row>
    <row r="15">
      <c r="G15" s="1" t="inlineStr">
        <is>
          <t>C</t>
        </is>
      </c>
      <c r="H15" s="4">
        <f>AF30</f>
        <v/>
      </c>
      <c r="I15" s="4">
        <f>AG30</f>
        <v/>
      </c>
      <c r="J15" s="4">
        <f>AH30</f>
        <v/>
      </c>
      <c r="K15" s="5" t="n"/>
      <c r="L15" s="3" t="n">
        <v>0</v>
      </c>
      <c r="M15" s="3" t="n">
        <v>0</v>
      </c>
      <c r="N15" s="6">
        <f>($H$8*$Z$12)+(L15*$AA$12)+(M15*$AB$12)</f>
        <v/>
      </c>
      <c r="O15" s="4">
        <f>1/(1+EXP(-N15))</f>
        <v/>
      </c>
      <c r="P15" s="6">
        <f>($H$8*$AC$12)+(L15*$AD$12)+(M15*$AE$12)</f>
        <v/>
      </c>
      <c r="Q15" s="4">
        <f>1/(1+EXP(-P15))</f>
        <v/>
      </c>
      <c r="R15" s="6">
        <f>($H$8*$AF$12)+(O15*$AG$12)+(Q15*$AH$12)</f>
        <v/>
      </c>
      <c r="S15" s="11">
        <f>1/(1+EXP(-R15))</f>
        <v/>
      </c>
      <c r="T15" s="1">
        <f>$E$3</f>
        <v/>
      </c>
      <c r="U15" s="12">
        <f>T15-S15</f>
        <v/>
      </c>
      <c r="V15" s="6">
        <f>U15^2</f>
        <v/>
      </c>
      <c r="W15" s="6">
        <f>S15*(1-S15)*U15</f>
        <v/>
      </c>
      <c r="X15" s="6">
        <f>O15*(1-O15)*$AG$12*W15</f>
        <v/>
      </c>
      <c r="Y15" s="6">
        <f>Q15*(1-Q15)*$AH$12*W15</f>
        <v/>
      </c>
      <c r="Z15" s="4">
        <f>$Z$12+$H$9*$X15*$H$8</f>
        <v/>
      </c>
      <c r="AA15" s="4">
        <f>$AA$12+$H$9*$X15*$L15</f>
        <v/>
      </c>
      <c r="AB15" s="4">
        <f>$AB$12+$H$9*$X15*$M15</f>
        <v/>
      </c>
      <c r="AC15" s="4">
        <f>$AC$12+$H$9*$Y15*$H$8</f>
        <v/>
      </c>
      <c r="AD15" s="4">
        <f>$AD$12+$H$9*$Y15*$L15</f>
        <v/>
      </c>
      <c r="AE15" s="4">
        <f>$AE$12+$H$9*$Y15*$M15</f>
        <v/>
      </c>
      <c r="AF15" s="4">
        <f>$AF$12+$H$9*$W15*$H$8</f>
        <v/>
      </c>
      <c r="AG15" s="4">
        <f>$AG$12+$H$9*$W15*$O15</f>
        <v/>
      </c>
      <c r="AH15" s="4">
        <f>$AH$12+$H$9*$W15*$Q15</f>
        <v/>
      </c>
      <c r="AI15" s="13">
        <f>AVERAGE(V15:V18)</f>
        <v/>
      </c>
    </row>
    <row r="16">
      <c r="B16" s="2" t="inlineStr">
        <is>
          <t>WEIGHTED SUM FUNCTION</t>
        </is>
      </c>
      <c r="C16" s="5" t="n"/>
      <c r="D16" s="5" t="n"/>
      <c r="K16" s="5" t="n"/>
      <c r="L16" s="3" t="n">
        <v>0</v>
      </c>
      <c r="M16" s="3" t="n">
        <v>1</v>
      </c>
      <c r="N16" s="6">
        <f>($H$8*$Z$15)+(L16*$AA$15)+(M16*$AB$15)</f>
        <v/>
      </c>
      <c r="O16" s="4">
        <f>1/(1+EXP(-N16))</f>
        <v/>
      </c>
      <c r="P16" s="6">
        <f>($H$8*$AC$15)+(L16*$AD$15)+(M16*$AE$15)</f>
        <v/>
      </c>
      <c r="Q16" s="4">
        <f>1/(1+EXP(-P16))</f>
        <v/>
      </c>
      <c r="R16" s="6">
        <f>($H$8*$AF$15)+(O16*$AG$15)+(Q16*$AH$15)</f>
        <v/>
      </c>
      <c r="S16" s="11">
        <f>1/(1+EXP(-R16))</f>
        <v/>
      </c>
      <c r="T16" s="1">
        <f>$E$4</f>
        <v/>
      </c>
      <c r="U16" s="12">
        <f>T16-S16</f>
        <v/>
      </c>
      <c r="V16" s="6">
        <f>U16^2</f>
        <v/>
      </c>
      <c r="W16" s="6">
        <f>S16*(1-S16)*U16</f>
        <v/>
      </c>
      <c r="X16" s="6">
        <f>O16*(1-O16)*$AG$15*W16</f>
        <v/>
      </c>
      <c r="Y16" s="6">
        <f>Q16*(1-Q16)*$AH$15*W16</f>
        <v/>
      </c>
      <c r="Z16" s="4">
        <f>$Z$15+$H$9*$X16*$H$8</f>
        <v/>
      </c>
      <c r="AA16" s="4">
        <f>$AA$15+$H$9*$X16*$L16</f>
        <v/>
      </c>
      <c r="AB16" s="4">
        <f>$AB$15+$H$9*$X16*$M16</f>
        <v/>
      </c>
      <c r="AC16" s="4">
        <f>$AC$15+$H$9*$Y16*$H$8</f>
        <v/>
      </c>
      <c r="AD16" s="4">
        <f>$AD$15+$H$9*$Y16*$L16</f>
        <v/>
      </c>
      <c r="AE16" s="4">
        <f>$AE$15+$H$9*$Y16*$M16</f>
        <v/>
      </c>
      <c r="AF16" s="4">
        <f>$AF$15+$H$9*$W16*$H$8</f>
        <v/>
      </c>
      <c r="AG16" s="4">
        <f>$AG$15+$H$9*$W16*$O16</f>
        <v/>
      </c>
      <c r="AH16" s="4">
        <f>$AH$15+$H$9*$W16*$Q16</f>
        <v/>
      </c>
      <c r="AI16" s="9" t="n"/>
    </row>
    <row r="17">
      <c r="B17" s="9" t="n"/>
      <c r="C17" s="9" t="n"/>
      <c r="D17" s="9" t="n"/>
      <c r="K17" s="5" t="n"/>
      <c r="L17" s="3" t="n">
        <v>1</v>
      </c>
      <c r="M17" s="3" t="n">
        <v>0</v>
      </c>
      <c r="N17" s="6">
        <f>($H$8*$Z$16)+(L17*$AA$16)+(M17*$AB$16)</f>
        <v/>
      </c>
      <c r="O17" s="4">
        <f>1/(1+EXP(-N17))</f>
        <v/>
      </c>
      <c r="P17" s="6">
        <f>($H$8*$AC$16)+(L17*$AD$16)+(M17*$AE$16)</f>
        <v/>
      </c>
      <c r="Q17" s="4">
        <f>1/(1+EXP(-P17))</f>
        <v/>
      </c>
      <c r="R17" s="6">
        <f>($H$8*$AF$16)+(O17*$AG$16)+(Q17*$AH$16)</f>
        <v/>
      </c>
      <c r="S17" s="11">
        <f>1/(1+EXP(-R17))</f>
        <v/>
      </c>
      <c r="T17" s="1">
        <f>$E$5</f>
        <v/>
      </c>
      <c r="U17" s="12">
        <f>T17-S17</f>
        <v/>
      </c>
      <c r="V17" s="6">
        <f>U17^2</f>
        <v/>
      </c>
      <c r="W17" s="6">
        <f>S17*(1-S17)*U17</f>
        <v/>
      </c>
      <c r="X17" s="6">
        <f>O17*(1-O17)*$AG$16*W17</f>
        <v/>
      </c>
      <c r="Y17" s="6">
        <f>Q17*(1-Q17)*$AH$16*W17</f>
        <v/>
      </c>
      <c r="Z17" s="4">
        <f>$Z$16+$H$9*$X17*$H$8</f>
        <v/>
      </c>
      <c r="AA17" s="4">
        <f>$AA$16+$H$9*$X17*$L17</f>
        <v/>
      </c>
      <c r="AB17" s="4">
        <f>$AB$16+$H$9*$X17*$M17</f>
        <v/>
      </c>
      <c r="AC17" s="4">
        <f>$AC$16+$H$9*$Y17*$H$8</f>
        <v/>
      </c>
      <c r="AD17" s="4">
        <f>$AD$16+$H$9*$Y17*$L17</f>
        <v/>
      </c>
      <c r="AE17" s="4">
        <f>$AE$16+$H$9*$Y17*$M17</f>
        <v/>
      </c>
      <c r="AF17" s="4">
        <f>$AF$16+$H$9*$W17*$H$8</f>
        <v/>
      </c>
      <c r="AG17" s="4">
        <f>$AG$16+$H$9*$W17*$O17</f>
        <v/>
      </c>
      <c r="AH17" s="4">
        <f>$AH$16+$H$9*$W17*$Q17</f>
        <v/>
      </c>
      <c r="AI17" s="9" t="n"/>
    </row>
    <row r="18">
      <c r="B18" s="9" t="n"/>
      <c r="C18" s="9" t="n"/>
      <c r="D18" s="9" t="n"/>
      <c r="K18" s="5" t="n"/>
      <c r="L18" s="3" t="n">
        <v>1</v>
      </c>
      <c r="M18" s="3" t="n">
        <v>1</v>
      </c>
      <c r="N18" s="6">
        <f>($H$8*$Z$17)+(L18*$AA$17)+(M18*$AB$17)</f>
        <v/>
      </c>
      <c r="O18" s="4">
        <f>1/(1+EXP(-N18))</f>
        <v/>
      </c>
      <c r="P18" s="6">
        <f>($H$8*$AC$17)+(L18*$AD$17)+(M18*$AE$17)</f>
        <v/>
      </c>
      <c r="Q18" s="4">
        <f>1/(1+EXP(-P18))</f>
        <v/>
      </c>
      <c r="R18" s="6">
        <f>($H$8*$AF$17)+(O18*$AG$17)+(Q18*$AH$17)</f>
        <v/>
      </c>
      <c r="S18" s="11">
        <f>1/(1+EXP(-R18))</f>
        <v/>
      </c>
      <c r="T18" s="1">
        <f>$E$6</f>
        <v/>
      </c>
      <c r="U18" s="12">
        <f>T18-S18</f>
        <v/>
      </c>
      <c r="V18" s="6">
        <f>U18^2</f>
        <v/>
      </c>
      <c r="W18" s="6">
        <f>S18*(1-S18)*U18</f>
        <v/>
      </c>
      <c r="X18" s="6">
        <f>O18*(1-O18)*$AG$17*W18</f>
        <v/>
      </c>
      <c r="Y18" s="6">
        <f>Q18*(1-Q18)*$AH$17*W18</f>
        <v/>
      </c>
      <c r="Z18" s="4">
        <f>$Z$17+$H$9*$X18*$H$8</f>
        <v/>
      </c>
      <c r="AA18" s="4">
        <f>$AA$17+$H$9*$X18*$L18</f>
        <v/>
      </c>
      <c r="AB18" s="4">
        <f>$AB$17+$H$9*$X18*$M18</f>
        <v/>
      </c>
      <c r="AC18" s="4">
        <f>$AC$17+$H$9*$Y18*$H$8</f>
        <v/>
      </c>
      <c r="AD18" s="4">
        <f>$AD$17+$H$9*$Y18*$L18</f>
        <v/>
      </c>
      <c r="AE18" s="4">
        <f>$AE$17+$H$9*$Y18*$M18</f>
        <v/>
      </c>
      <c r="AF18" s="4">
        <f>$AF$17+$H$9*$W18*$H$8</f>
        <v/>
      </c>
      <c r="AG18" s="4">
        <f>$AG$17+$H$9*$W18*$O18</f>
        <v/>
      </c>
      <c r="AH18" s="4">
        <f>$AH$17+$H$9*$W18*$Q18</f>
        <v/>
      </c>
      <c r="AI18" s="9" t="n"/>
    </row>
    <row r="19">
      <c r="B19" s="9" t="n"/>
      <c r="C19" s="9" t="n"/>
      <c r="D19" s="9" t="n"/>
    </row>
    <row r="20">
      <c r="B20" s="9" t="n"/>
      <c r="C20" s="9" t="n"/>
      <c r="D20" s="9" t="n"/>
      <c r="K20" s="2" t="inlineStr">
        <is>
          <t>EPOCH 4</t>
        </is>
      </c>
      <c r="L20" s="2" t="inlineStr">
        <is>
          <t>X1</t>
        </is>
      </c>
      <c r="M20" s="2" t="inlineStr">
        <is>
          <t>X2</t>
        </is>
      </c>
      <c r="N20" s="2" t="inlineStr">
        <is>
          <t>SUM H1</t>
        </is>
      </c>
      <c r="O20" s="2" t="inlineStr">
        <is>
          <t>H1</t>
        </is>
      </c>
      <c r="P20" s="2" t="inlineStr">
        <is>
          <t>SUM H2</t>
        </is>
      </c>
      <c r="Q20" s="2" t="inlineStr">
        <is>
          <t>H2</t>
        </is>
      </c>
      <c r="R20" s="2" t="inlineStr">
        <is>
          <t>SUM C</t>
        </is>
      </c>
      <c r="S20" s="2" t="inlineStr">
        <is>
          <t>C</t>
        </is>
      </c>
      <c r="T20" s="2" t="inlineStr">
        <is>
          <t>TARGET</t>
        </is>
      </c>
      <c r="U20" s="2" t="inlineStr">
        <is>
          <t>ERROR</t>
        </is>
      </c>
      <c r="V20" s="2" t="inlineStr">
        <is>
          <t>SE</t>
        </is>
      </c>
      <c r="W20" s="2" t="inlineStr">
        <is>
          <t>δC</t>
        </is>
      </c>
      <c r="X20" s="2" t="inlineStr">
        <is>
          <t>δH1</t>
        </is>
      </c>
      <c r="Y20" s="2" t="inlineStr">
        <is>
          <t>δH2</t>
        </is>
      </c>
      <c r="Z20" s="2" t="inlineStr">
        <is>
          <t>W1 H1</t>
        </is>
      </c>
      <c r="AA20" s="2" t="inlineStr">
        <is>
          <t>W2 H1</t>
        </is>
      </c>
      <c r="AB20" s="2" t="inlineStr">
        <is>
          <t>W3 H1</t>
        </is>
      </c>
      <c r="AC20" s="2" t="inlineStr">
        <is>
          <t>W1 H2</t>
        </is>
      </c>
      <c r="AD20" s="2" t="inlineStr">
        <is>
          <t>W2 H2</t>
        </is>
      </c>
      <c r="AE20" s="2" t="inlineStr">
        <is>
          <t>W3 H2</t>
        </is>
      </c>
      <c r="AF20" s="2" t="inlineStr">
        <is>
          <t>W1 C</t>
        </is>
      </c>
      <c r="AG20" s="2" t="inlineStr">
        <is>
          <t>W2 C</t>
        </is>
      </c>
      <c r="AH20" s="2" t="inlineStr">
        <is>
          <t>W3 C</t>
        </is>
      </c>
      <c r="AI20" s="2" t="inlineStr">
        <is>
          <t>MSE</t>
        </is>
      </c>
    </row>
    <row r="21">
      <c r="K21" s="5" t="n"/>
      <c r="L21" s="3" t="n">
        <v>0</v>
      </c>
      <c r="M21" s="3" t="n">
        <v>0</v>
      </c>
      <c r="N21" s="6">
        <f>($H$8*$Z$18)+(L21*$AA$18)+(M21*$AB$18)</f>
        <v/>
      </c>
      <c r="O21" s="4">
        <f>1/(1+EXP(-N21))</f>
        <v/>
      </c>
      <c r="P21" s="6">
        <f>($H$8*$AC$18)+(L21*$AD$18)+(M21*$AE$18)</f>
        <v/>
      </c>
      <c r="Q21" s="4">
        <f>1/(1+EXP(-P21))</f>
        <v/>
      </c>
      <c r="R21" s="6">
        <f>($H$8*$AF$18)+(O21*$AG$18)+(Q21*$AH$18)</f>
        <v/>
      </c>
      <c r="S21" s="11">
        <f>1/(1+EXP(-R21))</f>
        <v/>
      </c>
      <c r="T21" s="1">
        <f>$E$3</f>
        <v/>
      </c>
      <c r="U21" s="12">
        <f>T21-S21</f>
        <v/>
      </c>
      <c r="V21" s="6">
        <f>U21^2</f>
        <v/>
      </c>
      <c r="W21" s="6">
        <f>S21*(1-S21)*U21</f>
        <v/>
      </c>
      <c r="X21" s="6">
        <f>O21*(1-O21)*$AG$18*W21</f>
        <v/>
      </c>
      <c r="Y21" s="6">
        <f>Q21*(1-Q21)*$AH$18*W21</f>
        <v/>
      </c>
      <c r="Z21" s="4">
        <f>$Z$18+$H$9*$X21*$H$8</f>
        <v/>
      </c>
      <c r="AA21" s="4">
        <f>$AA$18+$H$9*$X21*$L21</f>
        <v/>
      </c>
      <c r="AB21" s="4">
        <f>$AB$18+$H$9*$X21*$M21</f>
        <v/>
      </c>
      <c r="AC21" s="4">
        <f>$AC$18+$H$9*$Y21*$H$8</f>
        <v/>
      </c>
      <c r="AD21" s="4">
        <f>$AD$18+$H$9*$Y21*$L21</f>
        <v/>
      </c>
      <c r="AE21" s="4">
        <f>$AE$18+$H$9*$Y21*$M21</f>
        <v/>
      </c>
      <c r="AF21" s="4">
        <f>$AF$18+$H$9*$W21*$H$8</f>
        <v/>
      </c>
      <c r="AG21" s="4">
        <f>$AG$18+$H$9*$W21*$O21</f>
        <v/>
      </c>
      <c r="AH21" s="4">
        <f>$AH$18+$H$9*$W21*$Q21</f>
        <v/>
      </c>
      <c r="AI21" s="13">
        <f>AVERAGE(V21:V24)</f>
        <v/>
      </c>
    </row>
    <row r="22">
      <c r="B22" s="2" t="inlineStr">
        <is>
          <t>ACTIVATION FUNCTION (SIGMOID)</t>
        </is>
      </c>
      <c r="C22" s="5" t="n"/>
      <c r="D22" s="5" t="n"/>
      <c r="K22" s="5" t="n"/>
      <c r="L22" s="3" t="n">
        <v>0</v>
      </c>
      <c r="M22" s="3" t="n">
        <v>1</v>
      </c>
      <c r="N22" s="6">
        <f>($H$8*$Z$21)+(L22*$AA$21)+(M22*$AB$21)</f>
        <v/>
      </c>
      <c r="O22" s="4">
        <f>1/(1+EXP(-N22))</f>
        <v/>
      </c>
      <c r="P22" s="6">
        <f>($H$8*$AC$21)+(L22*$AD$21)+(M22*$AE$21)</f>
        <v/>
      </c>
      <c r="Q22" s="4">
        <f>1/(1+EXP(-P22))</f>
        <v/>
      </c>
      <c r="R22" s="6">
        <f>($H$8*$AF$21)+(O22*$AG$21)+(Q22*$AH$21)</f>
        <v/>
      </c>
      <c r="S22" s="11">
        <f>1/(1+EXP(-R22))</f>
        <v/>
      </c>
      <c r="T22" s="1">
        <f>$E$4</f>
        <v/>
      </c>
      <c r="U22" s="12">
        <f>T22-S22</f>
        <v/>
      </c>
      <c r="V22" s="6">
        <f>U22^2</f>
        <v/>
      </c>
      <c r="W22" s="6">
        <f>S22*(1-S22)*U22</f>
        <v/>
      </c>
      <c r="X22" s="6">
        <f>O22*(1-O22)*$AG$21*W22</f>
        <v/>
      </c>
      <c r="Y22" s="6">
        <f>Q22*(1-Q22)*$AH$21*W22</f>
        <v/>
      </c>
      <c r="Z22" s="4">
        <f>$Z$21+$H$9*$X22*$H$8</f>
        <v/>
      </c>
      <c r="AA22" s="4">
        <f>$AA$21+$H$9*$X22*$L22</f>
        <v/>
      </c>
      <c r="AB22" s="4">
        <f>$AB$21+$H$9*$X22*$M22</f>
        <v/>
      </c>
      <c r="AC22" s="4">
        <f>$AC$21+$H$9*$Y22*$H$8</f>
        <v/>
      </c>
      <c r="AD22" s="4">
        <f>$AD$21+$H$9*$Y22*$L22</f>
        <v/>
      </c>
      <c r="AE22" s="4">
        <f>$AE$21+$H$9*$Y22*$M22</f>
        <v/>
      </c>
      <c r="AF22" s="4">
        <f>$AF$21+$H$9*$W22*$H$8</f>
        <v/>
      </c>
      <c r="AG22" s="4">
        <f>$AG$21+$H$9*$W22*$O22</f>
        <v/>
      </c>
      <c r="AH22" s="4">
        <f>$AH$21+$H$9*$W22*$Q22</f>
        <v/>
      </c>
      <c r="AI22" s="9" t="n"/>
    </row>
    <row r="23">
      <c r="B23" s="9" t="n"/>
      <c r="C23" s="9" t="n"/>
      <c r="D23" s="9" t="n"/>
      <c r="K23" s="5" t="n"/>
      <c r="L23" s="3" t="n">
        <v>1</v>
      </c>
      <c r="M23" s="3" t="n">
        <v>0</v>
      </c>
      <c r="N23" s="6">
        <f>($H$8*$Z$22)+(L23*$AA$22)+(M23*$AB$22)</f>
        <v/>
      </c>
      <c r="O23" s="4">
        <f>1/(1+EXP(-N23))</f>
        <v/>
      </c>
      <c r="P23" s="6">
        <f>($H$8*$AC$22)+(L23*$AD$22)+(M23*$AE$22)</f>
        <v/>
      </c>
      <c r="Q23" s="4">
        <f>1/(1+EXP(-P23))</f>
        <v/>
      </c>
      <c r="R23" s="6">
        <f>($H$8*$AF$22)+(O23*$AG$22)+(Q23*$AH$22)</f>
        <v/>
      </c>
      <c r="S23" s="11">
        <f>1/(1+EXP(-R23))</f>
        <v/>
      </c>
      <c r="T23" s="1">
        <f>$E$5</f>
        <v/>
      </c>
      <c r="U23" s="12">
        <f>T23-S23</f>
        <v/>
      </c>
      <c r="V23" s="6">
        <f>U23^2</f>
        <v/>
      </c>
      <c r="W23" s="6">
        <f>S23*(1-S23)*U23</f>
        <v/>
      </c>
      <c r="X23" s="6">
        <f>O23*(1-O23)*$AG$22*W23</f>
        <v/>
      </c>
      <c r="Y23" s="6">
        <f>Q23*(1-Q23)*$AH$22*W23</f>
        <v/>
      </c>
      <c r="Z23" s="4">
        <f>$Z$22+$H$9*$X23*$H$8</f>
        <v/>
      </c>
      <c r="AA23" s="4">
        <f>$AA$22+$H$9*$X23*$L23</f>
        <v/>
      </c>
      <c r="AB23" s="4">
        <f>$AB$22+$H$9*$X23*$M23</f>
        <v/>
      </c>
      <c r="AC23" s="4">
        <f>$AC$22+$H$9*$Y23*$H$8</f>
        <v/>
      </c>
      <c r="AD23" s="4">
        <f>$AD$22+$H$9*$Y23*$L23</f>
        <v/>
      </c>
      <c r="AE23" s="4">
        <f>$AE$22+$H$9*$Y23*$M23</f>
        <v/>
      </c>
      <c r="AF23" s="4">
        <f>$AF$22+$H$9*$W23*$H$8</f>
        <v/>
      </c>
      <c r="AG23" s="4">
        <f>$AG$22+$H$9*$W23*$O23</f>
        <v/>
      </c>
      <c r="AH23" s="4">
        <f>$AH$22+$H$9*$W23*$Q23</f>
        <v/>
      </c>
      <c r="AI23" s="9" t="n"/>
    </row>
    <row r="24">
      <c r="B24" s="9" t="n"/>
      <c r="C24" s="9" t="n"/>
      <c r="D24" s="9" t="n"/>
      <c r="K24" s="5" t="n"/>
      <c r="L24" s="3" t="n">
        <v>1</v>
      </c>
      <c r="M24" s="3" t="n">
        <v>1</v>
      </c>
      <c r="N24" s="6">
        <f>($H$8*$Z$23)+(L24*$AA$23)+(M24*$AB$23)</f>
        <v/>
      </c>
      <c r="O24" s="4">
        <f>1/(1+EXP(-N24))</f>
        <v/>
      </c>
      <c r="P24" s="6">
        <f>($H$8*$AC$23)+(L24*$AD$23)+(M24*$AE$23)</f>
        <v/>
      </c>
      <c r="Q24" s="4">
        <f>1/(1+EXP(-P24))</f>
        <v/>
      </c>
      <c r="R24" s="6">
        <f>($H$8*$AF$23)+(O24*$AG$23)+(Q24*$AH$23)</f>
        <v/>
      </c>
      <c r="S24" s="11">
        <f>1/(1+EXP(-R24))</f>
        <v/>
      </c>
      <c r="T24" s="1">
        <f>$E$6</f>
        <v/>
      </c>
      <c r="U24" s="12">
        <f>T24-S24</f>
        <v/>
      </c>
      <c r="V24" s="6">
        <f>U24^2</f>
        <v/>
      </c>
      <c r="W24" s="6">
        <f>S24*(1-S24)*U24</f>
        <v/>
      </c>
      <c r="X24" s="6">
        <f>O24*(1-O24)*$AG$23*W24</f>
        <v/>
      </c>
      <c r="Y24" s="6">
        <f>Q24*(1-Q24)*$AH$23*W24</f>
        <v/>
      </c>
      <c r="Z24" s="4">
        <f>$Z$23+$H$9*$X24*$H$8</f>
        <v/>
      </c>
      <c r="AA24" s="4">
        <f>$AA$23+$H$9*$X24*$L24</f>
        <v/>
      </c>
      <c r="AB24" s="4">
        <f>$AB$23+$H$9*$X24*$M24</f>
        <v/>
      </c>
      <c r="AC24" s="4">
        <f>$AC$23+$H$9*$Y24*$H$8</f>
        <v/>
      </c>
      <c r="AD24" s="4">
        <f>$AD$23+$H$9*$Y24*$L24</f>
        <v/>
      </c>
      <c r="AE24" s="4">
        <f>$AE$23+$H$9*$Y24*$M24</f>
        <v/>
      </c>
      <c r="AF24" s="4">
        <f>$AF$23+$H$9*$W24*$H$8</f>
        <v/>
      </c>
      <c r="AG24" s="4">
        <f>$AG$23+$H$9*$W24*$O24</f>
        <v/>
      </c>
      <c r="AH24" s="4">
        <f>$AH$23+$H$9*$W24*$Q24</f>
        <v/>
      </c>
      <c r="AI24" s="9" t="n"/>
    </row>
    <row r="25">
      <c r="B25" s="9" t="n"/>
      <c r="C25" s="9" t="n"/>
      <c r="D25" s="9" t="n"/>
    </row>
    <row r="26">
      <c r="K26" s="2" t="inlineStr">
        <is>
          <t>EPOCH 5</t>
        </is>
      </c>
      <c r="L26" s="2" t="inlineStr">
        <is>
          <t>X1</t>
        </is>
      </c>
      <c r="M26" s="2" t="inlineStr">
        <is>
          <t>X2</t>
        </is>
      </c>
      <c r="N26" s="2" t="inlineStr">
        <is>
          <t>SUM H1</t>
        </is>
      </c>
      <c r="O26" s="2" t="inlineStr">
        <is>
          <t>H1</t>
        </is>
      </c>
      <c r="P26" s="2" t="inlineStr">
        <is>
          <t>SUM H2</t>
        </is>
      </c>
      <c r="Q26" s="2" t="inlineStr">
        <is>
          <t>H2</t>
        </is>
      </c>
      <c r="R26" s="2" t="inlineStr">
        <is>
          <t>SUM C</t>
        </is>
      </c>
      <c r="S26" s="2" t="inlineStr">
        <is>
          <t>C</t>
        </is>
      </c>
      <c r="T26" s="2" t="inlineStr">
        <is>
          <t>TARGET</t>
        </is>
      </c>
      <c r="U26" s="2" t="inlineStr">
        <is>
          <t>ERROR</t>
        </is>
      </c>
      <c r="V26" s="2" t="inlineStr">
        <is>
          <t>SE</t>
        </is>
      </c>
      <c r="W26" s="2" t="inlineStr">
        <is>
          <t>δC</t>
        </is>
      </c>
      <c r="X26" s="2" t="inlineStr">
        <is>
          <t>δH1</t>
        </is>
      </c>
      <c r="Y26" s="2" t="inlineStr">
        <is>
          <t>δH2</t>
        </is>
      </c>
      <c r="Z26" s="2" t="inlineStr">
        <is>
          <t>W1 H1</t>
        </is>
      </c>
      <c r="AA26" s="2" t="inlineStr">
        <is>
          <t>W2 H1</t>
        </is>
      </c>
      <c r="AB26" s="2" t="inlineStr">
        <is>
          <t>W3 H1</t>
        </is>
      </c>
      <c r="AC26" s="2" t="inlineStr">
        <is>
          <t>W1 H2</t>
        </is>
      </c>
      <c r="AD26" s="2" t="inlineStr">
        <is>
          <t>W2 H2</t>
        </is>
      </c>
      <c r="AE26" s="2" t="inlineStr">
        <is>
          <t>W3 H2</t>
        </is>
      </c>
      <c r="AF26" s="2" t="inlineStr">
        <is>
          <t>W1 C</t>
        </is>
      </c>
      <c r="AG26" s="2" t="inlineStr">
        <is>
          <t>W2 C</t>
        </is>
      </c>
      <c r="AH26" s="2" t="inlineStr">
        <is>
          <t>W3 C</t>
        </is>
      </c>
      <c r="AI26" s="2" t="inlineStr">
        <is>
          <t>MSE</t>
        </is>
      </c>
    </row>
    <row r="27">
      <c r="B27" s="2" t="inlineStr">
        <is>
          <t>BACKPROPAGATION (GRADIEN ERROR)</t>
        </is>
      </c>
      <c r="C27" s="5" t="n"/>
      <c r="D27" s="5" t="n"/>
      <c r="K27" s="5" t="n"/>
      <c r="L27" s="3" t="n">
        <v>0</v>
      </c>
      <c r="M27" s="3" t="n">
        <v>0</v>
      </c>
      <c r="N27" s="6">
        <f>($H$8*$Z$24)+(L27*$AA$24)+(M27*$AB$24)</f>
        <v/>
      </c>
      <c r="O27" s="4">
        <f>1/(1+EXP(-N27))</f>
        <v/>
      </c>
      <c r="P27" s="6">
        <f>($H$8*$AC$24)+(L27*$AD$24)+(M27*$AE$24)</f>
        <v/>
      </c>
      <c r="Q27" s="4">
        <f>1/(1+EXP(-P27))</f>
        <v/>
      </c>
      <c r="R27" s="6">
        <f>($H$8*$AF$24)+(O27*$AG$24)+(Q27*$AH$24)</f>
        <v/>
      </c>
      <c r="S27" s="11">
        <f>1/(1+EXP(-R27))</f>
        <v/>
      </c>
      <c r="T27" s="1">
        <f>$E$3</f>
        <v/>
      </c>
      <c r="U27" s="12">
        <f>T27-S27</f>
        <v/>
      </c>
      <c r="V27" s="6">
        <f>U27^2</f>
        <v/>
      </c>
      <c r="W27" s="6">
        <f>S27*(1-S27)*U27</f>
        <v/>
      </c>
      <c r="X27" s="6">
        <f>O27*(1-O27)*$AG$24*W27</f>
        <v/>
      </c>
      <c r="Y27" s="6">
        <f>Q27*(1-Q27)*$AH$24*W27</f>
        <v/>
      </c>
      <c r="Z27" s="4">
        <f>$Z$24+$H$9*$X27*$H$8</f>
        <v/>
      </c>
      <c r="AA27" s="4">
        <f>$AA$24+$H$9*$X27*$L27</f>
        <v/>
      </c>
      <c r="AB27" s="4">
        <f>$AB$24+$H$9*$X27*$M27</f>
        <v/>
      </c>
      <c r="AC27" s="4">
        <f>$AC$24+$H$9*$Y27*$H$8</f>
        <v/>
      </c>
      <c r="AD27" s="4">
        <f>$AD$24+$H$9*$Y27*$L27</f>
        <v/>
      </c>
      <c r="AE27" s="4">
        <f>$AE$24+$H$9*$Y27*$M27</f>
        <v/>
      </c>
      <c r="AF27" s="4">
        <f>$AF$24+$H$9*$W27*$H$8</f>
        <v/>
      </c>
      <c r="AG27" s="4">
        <f>$AG$24+$H$9*$W27*$O27</f>
        <v/>
      </c>
      <c r="AH27" s="4">
        <f>$AH$24+$H$9*$W27*$Q27</f>
        <v/>
      </c>
      <c r="AI27" s="13">
        <f>AVERAGE(V27:V30)</f>
        <v/>
      </c>
    </row>
    <row r="28">
      <c r="B28" s="9" t="n"/>
      <c r="C28" s="9" t="n"/>
      <c r="D28" s="9" t="n"/>
      <c r="K28" s="5" t="n"/>
      <c r="L28" s="3" t="n">
        <v>0</v>
      </c>
      <c r="M28" s="3" t="n">
        <v>1</v>
      </c>
      <c r="N28" s="6">
        <f>($H$8*$Z$27)+(L28*$AA$27)+(M28*$AB$27)</f>
        <v/>
      </c>
      <c r="O28" s="4">
        <f>1/(1+EXP(-N28))</f>
        <v/>
      </c>
      <c r="P28" s="6">
        <f>($H$8*$AC$27)+(L28*$AD$27)+(M28*$AE$27)</f>
        <v/>
      </c>
      <c r="Q28" s="4">
        <f>1/(1+EXP(-P28))</f>
        <v/>
      </c>
      <c r="R28" s="6">
        <f>($H$8*$AF$27)+(O28*$AG$27)+(Q28*$AH$27)</f>
        <v/>
      </c>
      <c r="S28" s="11">
        <f>1/(1+EXP(-R28))</f>
        <v/>
      </c>
      <c r="T28" s="1">
        <f>$E$4</f>
        <v/>
      </c>
      <c r="U28" s="12">
        <f>T28-S28</f>
        <v/>
      </c>
      <c r="V28" s="6">
        <f>U28^2</f>
        <v/>
      </c>
      <c r="W28" s="6">
        <f>S28*(1-S28)*U28</f>
        <v/>
      </c>
      <c r="X28" s="6">
        <f>O28*(1-O28)*$AG$27*W28</f>
        <v/>
      </c>
      <c r="Y28" s="6">
        <f>Q28*(1-Q28)*$AH$27*W28</f>
        <v/>
      </c>
      <c r="Z28" s="4">
        <f>$Z$27+$H$9*$X28*$H$8</f>
        <v/>
      </c>
      <c r="AA28" s="4">
        <f>$AA$27+$H$9*$X28*$L28</f>
        <v/>
      </c>
      <c r="AB28" s="4">
        <f>$AB$27+$H$9*$X28*$M28</f>
        <v/>
      </c>
      <c r="AC28" s="4">
        <f>$AC$27+$H$9*$Y28*$H$8</f>
        <v/>
      </c>
      <c r="AD28" s="4">
        <f>$AD$27+$H$9*$Y28*$L28</f>
        <v/>
      </c>
      <c r="AE28" s="4">
        <f>$AE$27+$H$9*$Y28*$M28</f>
        <v/>
      </c>
      <c r="AF28" s="4">
        <f>$AF$27+$H$9*$W28*$H$8</f>
        <v/>
      </c>
      <c r="AG28" s="4">
        <f>$AG$27+$H$9*$W28*$O28</f>
        <v/>
      </c>
      <c r="AH28" s="4">
        <f>$AH$27+$H$9*$W28*$Q28</f>
        <v/>
      </c>
      <c r="AI28" s="9" t="n"/>
    </row>
    <row r="29">
      <c r="B29" s="9" t="n"/>
      <c r="C29" s="9" t="n"/>
      <c r="D29" s="9" t="n"/>
      <c r="K29" s="5" t="n"/>
      <c r="L29" s="3" t="n">
        <v>1</v>
      </c>
      <c r="M29" s="3" t="n">
        <v>0</v>
      </c>
      <c r="N29" s="6">
        <f>($H$8*$Z$28)+(L29*$AA$28)+(M29*$AB$28)</f>
        <v/>
      </c>
      <c r="O29" s="4">
        <f>1/(1+EXP(-N29))</f>
        <v/>
      </c>
      <c r="P29" s="6">
        <f>($H$8*$AC$28)+(L29*$AD$28)+(M29*$AE$28)</f>
        <v/>
      </c>
      <c r="Q29" s="4">
        <f>1/(1+EXP(-P29))</f>
        <v/>
      </c>
      <c r="R29" s="6">
        <f>($H$8*$AF$28)+(O29*$AG$28)+(Q29*$AH$28)</f>
        <v/>
      </c>
      <c r="S29" s="11">
        <f>1/(1+EXP(-R29))</f>
        <v/>
      </c>
      <c r="T29" s="1">
        <f>$E$5</f>
        <v/>
      </c>
      <c r="U29" s="12">
        <f>T29-S29</f>
        <v/>
      </c>
      <c r="V29" s="6">
        <f>U29^2</f>
        <v/>
      </c>
      <c r="W29" s="6">
        <f>S29*(1-S29)*U29</f>
        <v/>
      </c>
      <c r="X29" s="6">
        <f>O29*(1-O29)*$AG$28*W29</f>
        <v/>
      </c>
      <c r="Y29" s="6">
        <f>Q29*(1-Q29)*$AH$28*W29</f>
        <v/>
      </c>
      <c r="Z29" s="4">
        <f>$Z$28+$H$9*$X29*$H$8</f>
        <v/>
      </c>
      <c r="AA29" s="4">
        <f>$AA$28+$H$9*$X29*$L29</f>
        <v/>
      </c>
      <c r="AB29" s="4">
        <f>$AB$28+$H$9*$X29*$M29</f>
        <v/>
      </c>
      <c r="AC29" s="4">
        <f>$AC$28+$H$9*$Y29*$H$8</f>
        <v/>
      </c>
      <c r="AD29" s="4">
        <f>$AD$28+$H$9*$Y29*$L29</f>
        <v/>
      </c>
      <c r="AE29" s="4">
        <f>$AE$28+$H$9*$Y29*$M29</f>
        <v/>
      </c>
      <c r="AF29" s="4">
        <f>$AF$28+$H$9*$W29*$H$8</f>
        <v/>
      </c>
      <c r="AG29" s="4">
        <f>$AG$28+$H$9*$W29*$O29</f>
        <v/>
      </c>
      <c r="AH29" s="4">
        <f>$AH$28+$H$9*$W29*$Q29</f>
        <v/>
      </c>
      <c r="AI29" s="9" t="n"/>
    </row>
    <row r="30">
      <c r="B30" s="9" t="n"/>
      <c r="C30" s="9" t="n"/>
      <c r="D30" s="9" t="n"/>
      <c r="K30" s="5" t="n"/>
      <c r="L30" s="3" t="n">
        <v>1</v>
      </c>
      <c r="M30" s="3" t="n">
        <v>1</v>
      </c>
      <c r="N30" s="6">
        <f>($H$8*$Z$29)+(L30*$AA$29)+(M30*$AB$29)</f>
        <v/>
      </c>
      <c r="O30" s="4">
        <f>1/(1+EXP(-N30))</f>
        <v/>
      </c>
      <c r="P30" s="6">
        <f>($H$8*$AC$29)+(L30*$AD$29)+(M30*$AE$29)</f>
        <v/>
      </c>
      <c r="Q30" s="4">
        <f>1/(1+EXP(-P30))</f>
        <v/>
      </c>
      <c r="R30" s="6">
        <f>($H$8*$AF$29)+(O30*$AG$29)+(Q30*$AH$29)</f>
        <v/>
      </c>
      <c r="S30" s="11">
        <f>1/(1+EXP(-R30))</f>
        <v/>
      </c>
      <c r="T30" s="1">
        <f>$E$6</f>
        <v/>
      </c>
      <c r="U30" s="12">
        <f>T30-S30</f>
        <v/>
      </c>
      <c r="V30" s="6">
        <f>U30^2</f>
        <v/>
      </c>
      <c r="W30" s="6">
        <f>S30*(1-S30)*U30</f>
        <v/>
      </c>
      <c r="X30" s="6">
        <f>O30*(1-O30)*$AG$29*W30</f>
        <v/>
      </c>
      <c r="Y30" s="6">
        <f>Q30*(1-Q30)*$AH$29*W30</f>
        <v/>
      </c>
      <c r="Z30" s="4">
        <f>$Z$29+$H$9*$X30*$H$8</f>
        <v/>
      </c>
      <c r="AA30" s="4">
        <f>$AA$29+$H$9*$X30*$L30</f>
        <v/>
      </c>
      <c r="AB30" s="4">
        <f>$AB$29+$H$9*$X30*$M30</f>
        <v/>
      </c>
      <c r="AC30" s="4">
        <f>$AC$29+$H$9*$Y30*$H$8</f>
        <v/>
      </c>
      <c r="AD30" s="4">
        <f>$AD$29+$H$9*$Y30*$L30</f>
        <v/>
      </c>
      <c r="AE30" s="4">
        <f>$AE$29+$H$9*$Y30*$M30</f>
        <v/>
      </c>
      <c r="AF30" s="4">
        <f>$AF$29+$H$9*$W30*$H$8</f>
        <v/>
      </c>
      <c r="AG30" s="4">
        <f>$AG$29+$H$9*$W30*$O30</f>
        <v/>
      </c>
      <c r="AH30" s="4">
        <f>$AH$29+$H$9*$W30*$Q30</f>
        <v/>
      </c>
      <c r="AI30" s="9" t="n"/>
    </row>
    <row r="31">
      <c r="B31" s="9" t="n"/>
      <c r="C31" s="9" t="n"/>
      <c r="D31" s="9" t="n"/>
    </row>
    <row r="33">
      <c r="B33" s="2" t="inlineStr">
        <is>
          <t>PERCEPTRON WEIGHT UPDATE INFORMATION</t>
        </is>
      </c>
      <c r="C33" s="5" t="n"/>
      <c r="D33" s="5" t="n"/>
    </row>
    <row r="34">
      <c r="B34" s="9" t="n"/>
      <c r="C34" s="9" t="n"/>
      <c r="D34" s="9" t="n"/>
    </row>
    <row r="35">
      <c r="B35" s="9" t="n"/>
      <c r="C35" s="9" t="n"/>
      <c r="D35" s="9" t="n"/>
    </row>
    <row r="37">
      <c r="B37" s="2" t="inlineStr">
        <is>
          <t>ERROR FUNCTION</t>
        </is>
      </c>
      <c r="C37" s="5" t="n"/>
      <c r="D37" s="5" t="n"/>
    </row>
    <row r="38">
      <c r="B38" s="9" t="n"/>
      <c r="C38" s="9" t="n"/>
      <c r="D38" s="9" t="n"/>
    </row>
    <row r="39">
      <c r="B39" s="9" t="n"/>
      <c r="C39" s="9" t="n"/>
      <c r="D39" s="9" t="n"/>
    </row>
    <row r="40">
      <c r="B40" s="9" t="n"/>
      <c r="C40" s="9" t="n"/>
      <c r="D40" s="9" t="n"/>
    </row>
    <row r="42">
      <c r="B42" s="2" t="inlineStr">
        <is>
          <t>ARSITEKTUR JARINGAN</t>
        </is>
      </c>
      <c r="C42" s="5" t="n"/>
      <c r="D42" s="5" t="n"/>
    </row>
    <row r="43" ht="22" customHeight="1">
      <c r="B43" s="9" t="n"/>
      <c r="C43" s="9" t="n"/>
      <c r="D43" s="9" t="n"/>
    </row>
    <row r="44" ht="22" customHeight="1">
      <c r="B44" s="9" t="n"/>
      <c r="C44" s="9" t="n"/>
      <c r="D44" s="9" t="n"/>
    </row>
    <row r="45" ht="22" customHeight="1">
      <c r="B45" s="9" t="n"/>
      <c r="C45" s="9" t="n"/>
      <c r="D45" s="9" t="n"/>
    </row>
    <row r="46" ht="22" customHeight="1">
      <c r="B46" s="9" t="n"/>
      <c r="C46" s="9" t="n"/>
      <c r="D46" s="9" t="n"/>
    </row>
    <row r="47" ht="22" customHeight="1">
      <c r="B47" s="9" t="n"/>
      <c r="C47" s="9" t="n"/>
      <c r="D47" s="9" t="n"/>
    </row>
    <row r="48" ht="22" customHeight="1">
      <c r="B48" s="9" t="n"/>
      <c r="C48" s="9" t="n"/>
      <c r="D48" s="9" t="n"/>
    </row>
    <row r="49" ht="22" customHeight="1">
      <c r="B49" s="9" t="n"/>
      <c r="C49" s="9" t="n"/>
      <c r="D49" s="9" t="n"/>
    </row>
    <row r="50" ht="22" customHeight="1">
      <c r="B50" s="9" t="n"/>
      <c r="C50" s="9" t="n"/>
      <c r="D50" s="9" t="n"/>
    </row>
  </sheetData>
  <mergeCells count="29">
    <mergeCell ref="B42:D42"/>
    <mergeCell ref="B30:D31"/>
    <mergeCell ref="K14:K18"/>
    <mergeCell ref="B23:D25"/>
    <mergeCell ref="AI9:AI12"/>
    <mergeCell ref="K8:K12"/>
    <mergeCell ref="G1:J1"/>
    <mergeCell ref="AI15:AI18"/>
    <mergeCell ref="B38:D40"/>
    <mergeCell ref="B37:D37"/>
    <mergeCell ref="AI27:AI30"/>
    <mergeCell ref="G6:J7"/>
    <mergeCell ref="G11:J11"/>
    <mergeCell ref="B17:D18"/>
    <mergeCell ref="B33:D33"/>
    <mergeCell ref="AI3:AI6"/>
    <mergeCell ref="AI21:AI24"/>
    <mergeCell ref="K20:K24"/>
    <mergeCell ref="B43:D50"/>
    <mergeCell ref="B16:D16"/>
    <mergeCell ref="B34:D35"/>
    <mergeCell ref="B28:D29"/>
    <mergeCell ref="B1:E1"/>
    <mergeCell ref="B19:D20"/>
    <mergeCell ref="K26:K30"/>
    <mergeCell ref="B22:D22"/>
    <mergeCell ref="B8:B14"/>
    <mergeCell ref="B27:D27"/>
    <mergeCell ref="K2: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2026-09-06T14:12:15Z</dcterms:created>
  <dcterms:modified xmlns:dcterms="http://purl.org/dc/terms/" xmlns:xsi="http://www.w3.org/2001/XMLSchema-instance" xsi:type="dcterms:W3CDTF">2026-09-06T14:12:15Z</dcterms:modified>
</cp:coreProperties>
</file>