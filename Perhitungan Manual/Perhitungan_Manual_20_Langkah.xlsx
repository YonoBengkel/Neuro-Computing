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LP-XOR" sheetId="2" state="visible" r:id="rId2"/>
    <sheet xmlns:r="http://schemas.openxmlformats.org/officeDocument/2006/relationships" name="MLP-X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00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  <border>
      <left/>
      <right/>
      <top style="thin">
        <color rgb="009E9E9E"/>
      </top>
      <bottom/>
      <diagonal/>
    </border>
    <border>
      <left/>
      <right style="thin">
        <color rgb="009E9E9E"/>
      </right>
      <top style="thin">
        <color rgb="009E9E9E"/>
      </top>
      <bottom/>
      <diagonal/>
    </border>
    <border>
      <left/>
      <right/>
      <top style="thin">
        <color rgb="009E9E9E"/>
      </top>
      <bottom style="thin">
        <color rgb="009E9E9E"/>
      </bottom>
      <diagonal/>
    </border>
    <border>
      <left/>
      <right style="thin">
        <color rgb="009E9E9E"/>
      </right>
      <top style="thin">
        <color rgb="009E9E9E"/>
      </top>
      <bottom style="thin">
        <color rgb="009E9E9E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0" borderId="0" pivotButton="0" quotePrefix="0" xfId="0"/>
    <xf numFmtId="164" fontId="0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selection activeCell="A1" sqref="A1"/>
    </sheetView>
  </sheetViews>
  <sheetFormatPr baseColWidth="8" defaultRowHeight="15"/>
  <cols>
    <col width="17" customWidth="1" min="2" max="2"/>
    <col width="16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2">
      <c r="B2" s="1" t="inlineStr">
        <is>
          <t>PERHITUNGAN MANUAL - 20 LANGKAH AWAL</t>
        </is>
      </c>
    </row>
    <row r="4">
      <c r="B4" s="2" t="inlineStr">
        <is>
          <t>Sumber kode</t>
        </is>
      </c>
      <c r="C4" s="3" t="inlineStr">
        <is>
          <t>2-Multi-Perceptron/XOR_Multi_Perceptron.ipynb</t>
        </is>
      </c>
      <c r="D4" s="4" t="n"/>
      <c r="E4" s="4" t="n"/>
      <c r="F4" s="5" t="n"/>
      <c r="G4" s="3" t="inlineStr"/>
      <c r="H4" s="4" t="n"/>
      <c r="I4" s="4" t="n"/>
      <c r="J4" s="5" t="n"/>
    </row>
    <row r="5">
      <c r="B5" s="2" t="inlineStr">
        <is>
          <t>Format acuan</t>
        </is>
      </c>
      <c r="C5" s="3" t="inlineStr">
        <is>
          <t>41_Ilham Bintang Satria_ML11.xlsx</t>
        </is>
      </c>
      <c r="D5" s="4" t="n"/>
      <c r="E5" s="4" t="n"/>
      <c r="F5" s="5" t="n"/>
      <c r="G5" s="3" t="inlineStr"/>
      <c r="H5" s="4" t="n"/>
      <c r="I5" s="4" t="n"/>
      <c r="J5" s="5" t="n"/>
    </row>
    <row r="7">
      <c r="B7" s="6" t="inlineStr">
        <is>
          <t>SHEET</t>
        </is>
      </c>
      <c r="C7" s="3" t="inlineStr">
        <is>
          <t>ISI</t>
        </is>
      </c>
      <c r="D7" s="4" t="n"/>
      <c r="E7" s="4" t="n"/>
      <c r="F7" s="5" t="n"/>
      <c r="G7" s="3" t="inlineStr">
        <is>
          <t>PARAMETER</t>
        </is>
      </c>
      <c r="H7" s="4" t="n"/>
      <c r="I7" s="4" t="n"/>
      <c r="J7" s="5" t="n"/>
    </row>
    <row r="8">
      <c r="B8" s="2" t="inlineStr">
        <is>
          <t>SLP-XOR</t>
        </is>
      </c>
      <c r="C8" s="3" t="inlineStr">
        <is>
          <t>Single Layer Perceptron (notebook Cell 8) - 20 langkah, gagal konvergen</t>
        </is>
      </c>
      <c r="D8" s="4" t="n"/>
      <c r="E8" s="4" t="n"/>
      <c r="F8" s="5" t="n"/>
      <c r="G8" s="3" t="inlineStr">
        <is>
          <t>seed=42, mu=0.5, aktivasi step (SUM&gt;=0)</t>
        </is>
      </c>
      <c r="H8" s="4" t="n"/>
      <c r="I8" s="4" t="n"/>
      <c r="J8" s="5" t="n"/>
    </row>
    <row r="9">
      <c r="B9" s="2" t="inlineStr">
        <is>
          <t>MLP-XOR</t>
        </is>
      </c>
      <c r="C9" s="3" t="inlineStr">
        <is>
          <t>Multi Layer Perceptron + Backpropagation (train_mlp) - 20 langkah</t>
        </is>
      </c>
      <c r="D9" s="4" t="n"/>
      <c r="E9" s="4" t="n"/>
      <c r="F9" s="5" t="n"/>
      <c r="G9" s="3" t="inlineStr">
        <is>
          <t>seed=41, mu=0.5, aktivasi sigmoid</t>
        </is>
      </c>
      <c r="H9" s="4" t="n"/>
      <c r="I9" s="4" t="n"/>
      <c r="J9" s="5" t="n"/>
    </row>
    <row r="11">
      <c r="B11" s="6" t="inlineStr">
        <is>
          <t>CATATAN</t>
        </is>
      </c>
      <c r="C11" s="3" t="inlineStr">
        <is>
          <t>1 epoch = 4 langkah (4 pola input XOR). Jadi 20 langkah = 5 epoch.</t>
        </is>
      </c>
      <c r="D11" s="4" t="n"/>
      <c r="E11" s="4" t="n"/>
      <c r="F11" s="5" t="n"/>
      <c r="G11" s="3" t="inlineStr"/>
      <c r="H11" s="4" t="n"/>
      <c r="I11" s="4" t="n"/>
      <c r="J11" s="5" t="n"/>
    </row>
    <row r="12">
      <c r="B12" s="2" t="inlineStr"/>
      <c r="C12" s="3" t="inlineStr">
        <is>
          <t>Bobot diperbarui SETIAP pola (online/stochastic), bukan sekali per epoch.</t>
        </is>
      </c>
      <c r="D12" s="4" t="n"/>
      <c r="E12" s="4" t="n"/>
      <c r="F12" s="5" t="n"/>
      <c r="G12" s="3" t="inlineStr"/>
      <c r="H12" s="4" t="n"/>
      <c r="I12" s="4" t="n"/>
      <c r="J12" s="5" t="n"/>
    </row>
    <row r="13">
      <c r="B13" s="2" t="inlineStr"/>
      <c r="C13" s="3" t="inlineStr">
        <is>
          <t>Bobot masuk tiap baris = bobot keluar baris sebelumnya (rantai rumus hidup).</t>
        </is>
      </c>
      <c r="D13" s="4" t="n"/>
      <c r="E13" s="4" t="n"/>
      <c r="F13" s="5" t="n"/>
      <c r="G13" s="3" t="inlineStr"/>
      <c r="H13" s="4" t="n"/>
      <c r="I13" s="4" t="n"/>
      <c r="J13" s="5" t="n"/>
    </row>
    <row r="14">
      <c r="B14" s="2" t="inlineStr"/>
      <c r="C14" s="3" t="inlineStr">
        <is>
          <t>Semua sel hasil adalah rumus, bukan angka tempelan. Ubah bobot awal -&gt; semua ikut berubah.</t>
        </is>
      </c>
      <c r="D14" s="4" t="n"/>
      <c r="E14" s="4" t="n"/>
      <c r="F14" s="5" t="n"/>
      <c r="G14" s="3" t="inlineStr"/>
      <c r="H14" s="4" t="n"/>
      <c r="I14" s="4" t="n"/>
      <c r="J14" s="5" t="n"/>
    </row>
    <row r="16">
      <c r="B16" s="6" t="inlineStr">
        <is>
          <t>NOTASI</t>
        </is>
      </c>
      <c r="C16" s="3" t="inlineStr">
        <is>
          <t>Sheet memakai wi(r,i): r = 0 bias / 1 = I1 / 2 = I2, dan i = 1 untuk H1, 2 untuk H2.</t>
        </is>
      </c>
      <c r="D16" s="4" t="n"/>
      <c r="E16" s="4" t="n"/>
      <c r="F16" s="5" t="n"/>
      <c r="G16" s="3" t="inlineStr"/>
      <c r="H16" s="4" t="n"/>
      <c r="I16" s="4" t="n"/>
      <c r="J16" s="5" t="n"/>
    </row>
    <row r="17">
      <c r="B17" s="2" t="inlineStr"/>
      <c r="C17" s="3" t="inlineStr">
        <is>
          <t>Penomoran ini sama persis dengan komentar pada fungsi forward_pass() di notebook.</t>
        </is>
      </c>
      <c r="D17" s="4" t="n"/>
      <c r="E17" s="4" t="n"/>
      <c r="F17" s="5" t="n"/>
      <c r="G17" s="3" t="inlineStr"/>
      <c r="H17" s="4" t="n"/>
      <c r="I17" s="4" t="n"/>
      <c r="J17" s="5" t="n"/>
    </row>
    <row r="19">
      <c r="B19" s="6" t="inlineStr">
        <is>
          <t>JIKA PASTE TSV</t>
        </is>
      </c>
      <c r="C19" s="3" t="inlineStr">
        <is>
          <t>Klik sel A1 DULU, baru paste. Referensi rumus TIDAK ikut bergeser saat paste teks,</t>
        </is>
      </c>
      <c r="D19" s="4" t="n"/>
      <c r="E19" s="4" t="n"/>
      <c r="F19" s="5" t="n"/>
      <c r="G19" s="3" t="inlineStr"/>
      <c r="H19" s="4" t="n"/>
      <c r="I19" s="4" t="n"/>
      <c r="J19" s="5" t="n"/>
    </row>
    <row r="20">
      <c r="B20" s="2" t="inlineStr"/>
      <c r="C20" s="3" t="inlineStr">
        <is>
          <t>jadi salah posisi = seluruh angka salah TANPA pesan error. Impor .xlsx lebih aman.</t>
        </is>
      </c>
      <c r="D20" s="4" t="n"/>
      <c r="E20" s="4" t="n"/>
      <c r="F20" s="5" t="n"/>
      <c r="G20" s="3" t="inlineStr"/>
      <c r="H20" s="4" t="n"/>
      <c r="I20" s="4" t="n"/>
      <c r="J20" s="5" t="n"/>
    </row>
    <row r="22">
      <c r="B22" s="7" t="inlineStr">
        <is>
          <t>RUMUS SLP (Single Layer Perceptron)</t>
        </is>
      </c>
    </row>
    <row r="23">
      <c r="B23" s="3" t="inlineStr">
        <is>
          <t>SUM       = (Bias x W1) + (X1 x W2) + (X2 x W3)</t>
        </is>
      </c>
      <c r="C23" s="4" t="n"/>
      <c r="D23" s="4" t="n"/>
      <c r="E23" s="4" t="n"/>
      <c r="F23" s="4" t="n"/>
      <c r="G23" s="4" t="n"/>
      <c r="H23" s="4" t="n"/>
      <c r="I23" s="4" t="n"/>
      <c r="J23" s="5" t="n"/>
    </row>
    <row r="24">
      <c r="B24" s="3" t="inlineStr">
        <is>
          <t>OUTPUT    = IF(SUM &gt;= t ; 1 ; 0)      dengan t = 0</t>
        </is>
      </c>
      <c r="C24" s="4" t="n"/>
      <c r="D24" s="4" t="n"/>
      <c r="E24" s="4" t="n"/>
      <c r="F24" s="4" t="n"/>
      <c r="G24" s="4" t="n"/>
      <c r="H24" s="4" t="n"/>
      <c r="I24" s="4" t="n"/>
      <c r="J24" s="5" t="n"/>
    </row>
    <row r="25">
      <c r="B25" s="3" t="inlineStr">
        <is>
          <t>ERROR     = TARGET - OUTPUT</t>
        </is>
      </c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B26" s="3" t="inlineStr">
        <is>
          <t>Wi_baru   = Wi_lama + mu x ERROR x Xi      (X0 = bias = 1)</t>
        </is>
      </c>
      <c r="C26" s="4" t="n"/>
      <c r="D26" s="4" t="n"/>
      <c r="E26" s="4" t="n"/>
      <c r="F26" s="4" t="n"/>
      <c r="G26" s="4" t="n"/>
      <c r="H26" s="4" t="n"/>
      <c r="I26" s="4" t="n"/>
      <c r="J26" s="5" t="n"/>
    </row>
    <row r="28">
      <c r="B28" s="7" t="inlineStr">
        <is>
          <t>RUMUS MLP (Backpropagation)</t>
        </is>
      </c>
    </row>
    <row r="29">
      <c r="B29" s="3" t="inlineStr">
        <is>
          <t>SI1       = wi(0,1) + wi(1,1) x I1 + wi(2,1) x I2</t>
        </is>
      </c>
      <c r="C29" s="4" t="n"/>
      <c r="D29" s="4" t="n"/>
      <c r="E29" s="4" t="n"/>
      <c r="F29" s="4" t="n"/>
      <c r="G29" s="4" t="n"/>
      <c r="H29" s="4" t="n"/>
      <c r="I29" s="4" t="n"/>
      <c r="J29" s="5" t="n"/>
    </row>
    <row r="30">
      <c r="B30" s="3" t="inlineStr">
        <is>
          <t>SI2       = wi(0,2) + wi(1,2) x I1 + wi(2,2) x I2</t>
        </is>
      </c>
      <c r="C30" s="4" t="n"/>
      <c r="D30" s="4" t="n"/>
      <c r="E30" s="4" t="n"/>
      <c r="F30" s="4" t="n"/>
      <c r="G30" s="4" t="n"/>
      <c r="H30" s="4" t="n"/>
      <c r="I30" s="4" t="n"/>
      <c r="J30" s="5" t="n"/>
    </row>
    <row r="31">
      <c r="B31" s="3" t="inlineStr">
        <is>
          <t>H1 / H2   = sigmoid(SI) = 1 / (1 + EXP(-SI))</t>
        </is>
      </c>
      <c r="C31" s="4" t="n"/>
      <c r="D31" s="4" t="n"/>
      <c r="E31" s="4" t="n"/>
      <c r="F31" s="4" t="n"/>
      <c r="G31" s="4" t="n"/>
      <c r="H31" s="4" t="n"/>
      <c r="I31" s="4" t="n"/>
      <c r="J31" s="5" t="n"/>
    </row>
    <row r="32">
      <c r="B32" s="3" t="inlineStr">
        <is>
          <t>SH        = wh0 + wh1 x H1 + wh2 x H2</t>
        </is>
      </c>
      <c r="C32" s="4" t="n"/>
      <c r="D32" s="4" t="n"/>
      <c r="E32" s="4" t="n"/>
      <c r="F32" s="4" t="n"/>
      <c r="G32" s="4" t="n"/>
      <c r="H32" s="4" t="n"/>
      <c r="I32" s="4" t="n"/>
      <c r="J32" s="5" t="n"/>
    </row>
    <row r="33">
      <c r="B33" s="3" t="inlineStr">
        <is>
          <t>C         = sigmoid(SH)</t>
        </is>
      </c>
      <c r="C33" s="4" t="n"/>
      <c r="D33" s="4" t="n"/>
      <c r="E33" s="4" t="n"/>
      <c r="F33" s="4" t="n"/>
      <c r="G33" s="4" t="n"/>
      <c r="H33" s="4" t="n"/>
      <c r="I33" s="4" t="n"/>
      <c r="J33" s="5" t="n"/>
    </row>
    <row r="34">
      <c r="B34" s="3" t="inlineStr">
        <is>
          <t>SE        = (Target - C)^2</t>
        </is>
      </c>
      <c r="C34" s="4" t="n"/>
      <c r="D34" s="4" t="n"/>
      <c r="E34" s="4" t="n"/>
      <c r="F34" s="4" t="n"/>
      <c r="G34" s="4" t="n"/>
      <c r="H34" s="4" t="n"/>
      <c r="I34" s="4" t="n"/>
      <c r="J34" s="5" t="n"/>
    </row>
    <row r="35">
      <c r="B35" s="3" t="inlineStr">
        <is>
          <t>dC        = C x (1 - C) x (Target - C)</t>
        </is>
      </c>
      <c r="C35" s="4" t="n"/>
      <c r="D35" s="4" t="n"/>
      <c r="E35" s="4" t="n"/>
      <c r="F35" s="4" t="n"/>
      <c r="G35" s="4" t="n"/>
      <c r="H35" s="4" t="n"/>
      <c r="I35" s="4" t="n"/>
      <c r="J35" s="5" t="n"/>
    </row>
    <row r="36">
      <c r="B36" s="3" t="inlineStr">
        <is>
          <t>dH1       = H1 x (1 - H1) x wh1 x dC      &lt;- wh1 SEBELUM update</t>
        </is>
      </c>
      <c r="C36" s="4" t="n"/>
      <c r="D36" s="4" t="n"/>
      <c r="E36" s="4" t="n"/>
      <c r="F36" s="4" t="n"/>
      <c r="G36" s="4" t="n"/>
      <c r="H36" s="4" t="n"/>
      <c r="I36" s="4" t="n"/>
      <c r="J36" s="5" t="n"/>
    </row>
    <row r="37">
      <c r="B37" s="3" t="inlineStr">
        <is>
          <t>dH2       = H2 x (1 - H2) x wh2 x dC      &lt;- wh2 SEBELUM update</t>
        </is>
      </c>
      <c r="C37" s="4" t="n"/>
      <c r="D37" s="4" t="n"/>
      <c r="E37" s="4" t="n"/>
      <c r="F37" s="4" t="n"/>
      <c r="G37" s="4" t="n"/>
      <c r="H37" s="4" t="n"/>
      <c r="I37" s="4" t="n"/>
      <c r="J37" s="5" t="n"/>
    </row>
    <row r="38">
      <c r="B38" s="3" t="inlineStr">
        <is>
          <t>Update wh : wh_i = wh_i + mu x H_i x dC        (H0 = 1)</t>
        </is>
      </c>
      <c r="C38" s="4" t="n"/>
      <c r="D38" s="4" t="n"/>
      <c r="E38" s="4" t="n"/>
      <c r="F38" s="4" t="n"/>
      <c r="G38" s="4" t="n"/>
      <c r="H38" s="4" t="n"/>
      <c r="I38" s="4" t="n"/>
      <c r="J38" s="5" t="n"/>
    </row>
    <row r="39">
      <c r="B39" s="3" t="inlineStr">
        <is>
          <t>Update wi : wi(r,i) = wi(r,i) + mu x I_r x dH_i    (I0 = 1)</t>
        </is>
      </c>
      <c r="C39" s="4" t="n"/>
      <c r="D39" s="4" t="n"/>
      <c r="E39" s="4" t="n"/>
      <c r="F39" s="4" t="n"/>
      <c r="G39" s="4" t="n"/>
      <c r="H39" s="4" t="n"/>
      <c r="I39" s="4" t="n"/>
      <c r="J39" s="5" t="n"/>
    </row>
    <row r="40">
      <c r="B40" s="3" t="inlineStr">
        <is>
          <t>MSE       = rata-rata SE dari 4 pola dalam 1 epoch</t>
        </is>
      </c>
      <c r="C40" s="4" t="n"/>
      <c r="D40" s="4" t="n"/>
      <c r="E40" s="4" t="n"/>
      <c r="F40" s="4" t="n"/>
      <c r="G40" s="4" t="n"/>
      <c r="H40" s="4" t="n"/>
      <c r="I40" s="4" t="n"/>
      <c r="J40" s="5" t="n"/>
    </row>
  </sheetData>
  <mergeCells count="45">
    <mergeCell ref="C17:F17"/>
    <mergeCell ref="C8:F8"/>
    <mergeCell ref="G4:J4"/>
    <mergeCell ref="G20:J20"/>
    <mergeCell ref="C7:F7"/>
    <mergeCell ref="B23:J23"/>
    <mergeCell ref="G16:J16"/>
    <mergeCell ref="C19:F19"/>
    <mergeCell ref="B38:J38"/>
    <mergeCell ref="C13:F13"/>
    <mergeCell ref="B29:J29"/>
    <mergeCell ref="G9:J9"/>
    <mergeCell ref="B34:J34"/>
    <mergeCell ref="B37:J37"/>
    <mergeCell ref="B28:J28"/>
    <mergeCell ref="G12:J12"/>
    <mergeCell ref="B40:J40"/>
    <mergeCell ref="G11:J11"/>
    <mergeCell ref="C5:F5"/>
    <mergeCell ref="C14:F14"/>
    <mergeCell ref="B24:J24"/>
    <mergeCell ref="B30:J30"/>
    <mergeCell ref="B33:J33"/>
    <mergeCell ref="G17:J17"/>
    <mergeCell ref="C4:F4"/>
    <mergeCell ref="G8:J8"/>
    <mergeCell ref="C20:F20"/>
    <mergeCell ref="B36:J36"/>
    <mergeCell ref="B32:J32"/>
    <mergeCell ref="B26:J26"/>
    <mergeCell ref="C16:F16"/>
    <mergeCell ref="G7:J7"/>
    <mergeCell ref="B35:J35"/>
    <mergeCell ref="G19:J19"/>
    <mergeCell ref="C9:F9"/>
    <mergeCell ref="G13:J13"/>
    <mergeCell ref="B25:J25"/>
    <mergeCell ref="B22:J22"/>
    <mergeCell ref="C12:F12"/>
    <mergeCell ref="B31:J31"/>
    <mergeCell ref="C11:F11"/>
    <mergeCell ref="B39:J39"/>
    <mergeCell ref="G5:J5"/>
    <mergeCell ref="B2:J2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60"/>
  <sheetViews>
    <sheetView showGridLines="0" workbookViewId="0">
      <selection activeCell="A1" sqref="A1"/>
    </sheetView>
  </sheetViews>
  <sheetFormatPr baseColWidth="8" defaultRowHeight="15"/>
  <cols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B2" s="1" t="inlineStr">
        <is>
          <t>SINGLE LAYER PERCEPTRON - XOR   (notebook Cell 8)</t>
        </is>
      </c>
    </row>
    <row r="4">
      <c r="B4" s="8" t="inlineStr">
        <is>
          <t>TABEL KEBENARAN</t>
        </is>
      </c>
      <c r="C4" s="4" t="n"/>
      <c r="D4" s="5" t="n"/>
      <c r="F4" s="8" t="inlineStr">
        <is>
          <t>KONSTANTA</t>
        </is>
      </c>
      <c r="G4" s="4" t="n"/>
      <c r="H4" s="5" t="n"/>
    </row>
    <row r="5">
      <c r="B5" s="9" t="inlineStr">
        <is>
          <t>X1</t>
        </is>
      </c>
      <c r="C5" s="9" t="inlineStr">
        <is>
          <t>X2</t>
        </is>
      </c>
      <c r="D5" s="9" t="inlineStr">
        <is>
          <t>XOR</t>
        </is>
      </c>
      <c r="F5" s="6" t="inlineStr">
        <is>
          <t>W1 (bias)</t>
        </is>
      </c>
      <c r="G5" s="5" t="n"/>
      <c r="H5" s="10" t="n">
        <v>-0.1254598811526375</v>
      </c>
    </row>
    <row r="6">
      <c r="B6" s="11" t="n">
        <v>0</v>
      </c>
      <c r="C6" s="11" t="n">
        <v>0</v>
      </c>
      <c r="D6" s="12">
        <f>IF(AND(B6=1,C6=1),0,IF(OR(B6=1,C6=1),1,0))</f>
        <v/>
      </c>
      <c r="F6" s="6" t="inlineStr">
        <is>
          <t>W2 (X1)</t>
        </is>
      </c>
      <c r="G6" s="5" t="n"/>
      <c r="H6" s="10" t="n">
        <v>0.4507143064099162</v>
      </c>
    </row>
    <row r="7">
      <c r="B7" s="11" t="n">
        <v>0</v>
      </c>
      <c r="C7" s="11" t="n">
        <v>1</v>
      </c>
      <c r="D7" s="12">
        <f>IF(AND(B7=1,C7=1),0,IF(OR(B7=1,C7=1),1,0))</f>
        <v/>
      </c>
      <c r="F7" s="6" t="inlineStr">
        <is>
          <t>W3 (X2)</t>
        </is>
      </c>
      <c r="G7" s="5" t="n"/>
      <c r="H7" s="10" t="n">
        <v>0.2319939418114051</v>
      </c>
    </row>
    <row r="8">
      <c r="B8" s="11" t="n">
        <v>1</v>
      </c>
      <c r="C8" s="11" t="n">
        <v>0</v>
      </c>
      <c r="D8" s="12">
        <f>IF(AND(B8=1,C8=1),0,IF(OR(B8=1,C8=1),1,0))</f>
        <v/>
      </c>
      <c r="F8" s="6" t="inlineStr">
        <is>
          <t>t (threshold)</t>
        </is>
      </c>
      <c r="G8" s="5" t="n"/>
      <c r="H8" s="13" t="n">
        <v>0</v>
      </c>
    </row>
    <row r="9">
      <c r="B9" s="11" t="n">
        <v>1</v>
      </c>
      <c r="C9" s="11" t="n">
        <v>1</v>
      </c>
      <c r="D9" s="12">
        <f>IF(AND(B9=1,C9=1),0,IF(OR(B9=1,C9=1),1,0))</f>
        <v/>
      </c>
      <c r="F9" s="6" t="inlineStr">
        <is>
          <t>mu (learning rate)</t>
        </is>
      </c>
      <c r="G9" s="5" t="n"/>
      <c r="H9" s="10" t="n">
        <v>0.5</v>
      </c>
    </row>
    <row r="10">
      <c r="F10" s="6" t="inlineStr">
        <is>
          <t>Bias</t>
        </is>
      </c>
      <c r="G10" s="5" t="n"/>
      <c r="H10" s="13" t="n">
        <v>1</v>
      </c>
    </row>
    <row r="11">
      <c r="F11" s="6" t="inlineStr">
        <is>
          <t>seed</t>
        </is>
      </c>
      <c r="G11" s="5" t="n"/>
      <c r="H11" s="13" t="n">
        <v>42</v>
      </c>
    </row>
    <row r="14">
      <c r="B14" s="8" t="inlineStr">
        <is>
          <t>EPOCH 1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5" t="n"/>
    </row>
    <row r="15">
      <c r="B15" s="9" t="inlineStr">
        <is>
          <t>STEP</t>
        </is>
      </c>
      <c r="C15" s="9" t="inlineStr">
        <is>
          <t>X1</t>
        </is>
      </c>
      <c r="D15" s="9" t="inlineStr">
        <is>
          <t>X2</t>
        </is>
      </c>
      <c r="E15" s="9" t="inlineStr">
        <is>
          <t>W1</t>
        </is>
      </c>
      <c r="F15" s="9" t="inlineStr">
        <is>
          <t>W2</t>
        </is>
      </c>
      <c r="G15" s="9" t="inlineStr">
        <is>
          <t>W3</t>
        </is>
      </c>
      <c r="H15" s="9" t="inlineStr">
        <is>
          <t>SUM</t>
        </is>
      </c>
      <c r="I15" s="9" t="inlineStr">
        <is>
          <t>OUTPUT</t>
        </is>
      </c>
      <c r="J15" s="9" t="inlineStr">
        <is>
          <t>TARGET</t>
        </is>
      </c>
      <c r="K15" s="9" t="inlineStr">
        <is>
          <t>ERROR</t>
        </is>
      </c>
      <c r="L15" s="9" t="inlineStr">
        <is>
          <t>W1b</t>
        </is>
      </c>
      <c r="M15" s="9" t="inlineStr">
        <is>
          <t>W2b</t>
        </is>
      </c>
      <c r="N15" s="9" t="inlineStr">
        <is>
          <t>W3b</t>
        </is>
      </c>
    </row>
    <row r="16">
      <c r="B16" s="14" t="n">
        <v>1</v>
      </c>
      <c r="C16" s="11" t="n">
        <v>0</v>
      </c>
      <c r="D16" s="11" t="n">
        <v>0</v>
      </c>
      <c r="E16" s="15">
        <f>$H$5</f>
        <v/>
      </c>
      <c r="F16" s="15">
        <f>$H$6</f>
        <v/>
      </c>
      <c r="G16" s="15">
        <f>$H$7</f>
        <v/>
      </c>
      <c r="H16" s="16">
        <f>($H$10*E16)+(C16*F16)+(D16*G16)</f>
        <v/>
      </c>
      <c r="I16" s="17">
        <f>IF(H16&gt;=$H$8,1,0)</f>
        <v/>
      </c>
      <c r="J16" s="11">
        <f>INDEX($D$6:$D$9,1)</f>
        <v/>
      </c>
      <c r="K16" s="18">
        <f>J16-I16</f>
        <v/>
      </c>
      <c r="L16" s="15">
        <f>E16+$H$9*K16*$H$10</f>
        <v/>
      </c>
      <c r="M16" s="15">
        <f>F16+$H$9*K16*C16</f>
        <v/>
      </c>
      <c r="N16" s="15">
        <f>G16+$H$9*K16*D16</f>
        <v/>
      </c>
    </row>
    <row r="17">
      <c r="B17" s="14" t="n">
        <v>2</v>
      </c>
      <c r="C17" s="11" t="n">
        <v>0</v>
      </c>
      <c r="D17" s="11" t="n">
        <v>1</v>
      </c>
      <c r="E17" s="15">
        <f>L16</f>
        <v/>
      </c>
      <c r="F17" s="15">
        <f>M16</f>
        <v/>
      </c>
      <c r="G17" s="15">
        <f>N16</f>
        <v/>
      </c>
      <c r="H17" s="16">
        <f>($H$10*E17)+(C17*F17)+(D17*G17)</f>
        <v/>
      </c>
      <c r="I17" s="17">
        <f>IF(H17&gt;=$H$8,1,0)</f>
        <v/>
      </c>
      <c r="J17" s="11">
        <f>INDEX($D$6:$D$9,2)</f>
        <v/>
      </c>
      <c r="K17" s="18">
        <f>J17-I17</f>
        <v/>
      </c>
      <c r="L17" s="15">
        <f>E17+$H$9*K17*$H$10</f>
        <v/>
      </c>
      <c r="M17" s="15">
        <f>F17+$H$9*K17*C17</f>
        <v/>
      </c>
      <c r="N17" s="15">
        <f>G17+$H$9*K17*D17</f>
        <v/>
      </c>
    </row>
    <row r="18">
      <c r="B18" s="14" t="n">
        <v>3</v>
      </c>
      <c r="C18" s="11" t="n">
        <v>1</v>
      </c>
      <c r="D18" s="11" t="n">
        <v>0</v>
      </c>
      <c r="E18" s="15">
        <f>L17</f>
        <v/>
      </c>
      <c r="F18" s="15">
        <f>M17</f>
        <v/>
      </c>
      <c r="G18" s="15">
        <f>N17</f>
        <v/>
      </c>
      <c r="H18" s="16">
        <f>($H$10*E18)+(C18*F18)+(D18*G18)</f>
        <v/>
      </c>
      <c r="I18" s="17">
        <f>IF(H18&gt;=$H$8,1,0)</f>
        <v/>
      </c>
      <c r="J18" s="11">
        <f>INDEX($D$6:$D$9,3)</f>
        <v/>
      </c>
      <c r="K18" s="18">
        <f>J18-I18</f>
        <v/>
      </c>
      <c r="L18" s="15">
        <f>E18+$H$9*K18*$H$10</f>
        <v/>
      </c>
      <c r="M18" s="15">
        <f>F18+$H$9*K18*C18</f>
        <v/>
      </c>
      <c r="N18" s="15">
        <f>G18+$H$9*K18*D18</f>
        <v/>
      </c>
    </row>
    <row r="19">
      <c r="B19" s="14" t="n">
        <v>4</v>
      </c>
      <c r="C19" s="11" t="n">
        <v>1</v>
      </c>
      <c r="D19" s="11" t="n">
        <v>1</v>
      </c>
      <c r="E19" s="15">
        <f>L18</f>
        <v/>
      </c>
      <c r="F19" s="15">
        <f>M18</f>
        <v/>
      </c>
      <c r="G19" s="15">
        <f>N18</f>
        <v/>
      </c>
      <c r="H19" s="16">
        <f>($H$10*E19)+(C19*F19)+(D19*G19)</f>
        <v/>
      </c>
      <c r="I19" s="17">
        <f>IF(H19&gt;=$H$8,1,0)</f>
        <v/>
      </c>
      <c r="J19" s="11">
        <f>INDEX($D$6:$D$9,4)</f>
        <v/>
      </c>
      <c r="K19" s="18">
        <f>J19-I19</f>
        <v/>
      </c>
      <c r="L19" s="15">
        <f>E19+$H$9*K19*$H$10</f>
        <v/>
      </c>
      <c r="M19" s="15">
        <f>F19+$H$9*K19*C19</f>
        <v/>
      </c>
      <c r="N19" s="15">
        <f>G19+$H$9*K19*D19</f>
        <v/>
      </c>
    </row>
    <row r="20">
      <c r="B20" s="2" t="inlineStr">
        <is>
          <t>Total |ERROR| epoch 1</t>
        </is>
      </c>
      <c r="C20" s="4" t="n"/>
      <c r="D20" s="4" t="n"/>
      <c r="E20" s="4" t="n"/>
      <c r="F20" s="4" t="n"/>
      <c r="G20" s="5" t="n"/>
      <c r="H20" s="18">
        <f>ABS(K16)+ABS(K17)+ABS(K18)+ABS(K19)</f>
        <v/>
      </c>
    </row>
    <row r="22">
      <c r="B22" s="8" t="inlineStr">
        <is>
          <t>EPOCH 2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</row>
    <row r="23">
      <c r="B23" s="9" t="inlineStr">
        <is>
          <t>STEP</t>
        </is>
      </c>
      <c r="C23" s="9" t="inlineStr">
        <is>
          <t>X1</t>
        </is>
      </c>
      <c r="D23" s="9" t="inlineStr">
        <is>
          <t>X2</t>
        </is>
      </c>
      <c r="E23" s="9" t="inlineStr">
        <is>
          <t>W1</t>
        </is>
      </c>
      <c r="F23" s="9" t="inlineStr">
        <is>
          <t>W2</t>
        </is>
      </c>
      <c r="G23" s="9" t="inlineStr">
        <is>
          <t>W3</t>
        </is>
      </c>
      <c r="H23" s="9" t="inlineStr">
        <is>
          <t>SUM</t>
        </is>
      </c>
      <c r="I23" s="9" t="inlineStr">
        <is>
          <t>OUTPUT</t>
        </is>
      </c>
      <c r="J23" s="9" t="inlineStr">
        <is>
          <t>TARGET</t>
        </is>
      </c>
      <c r="K23" s="9" t="inlineStr">
        <is>
          <t>ERROR</t>
        </is>
      </c>
      <c r="L23" s="9" t="inlineStr">
        <is>
          <t>W1b</t>
        </is>
      </c>
      <c r="M23" s="9" t="inlineStr">
        <is>
          <t>W2b</t>
        </is>
      </c>
      <c r="N23" s="9" t="inlineStr">
        <is>
          <t>W3b</t>
        </is>
      </c>
    </row>
    <row r="24">
      <c r="B24" s="14" t="n">
        <v>5</v>
      </c>
      <c r="C24" s="11" t="n">
        <v>0</v>
      </c>
      <c r="D24" s="11" t="n">
        <v>0</v>
      </c>
      <c r="E24" s="15">
        <f>L19</f>
        <v/>
      </c>
      <c r="F24" s="15">
        <f>M19</f>
        <v/>
      </c>
      <c r="G24" s="15">
        <f>N19</f>
        <v/>
      </c>
      <c r="H24" s="16">
        <f>($H$10*E24)+(C24*F24)+(D24*G24)</f>
        <v/>
      </c>
      <c r="I24" s="17">
        <f>IF(H24&gt;=$H$8,1,0)</f>
        <v/>
      </c>
      <c r="J24" s="11">
        <f>INDEX($D$6:$D$9,1)</f>
        <v/>
      </c>
      <c r="K24" s="18">
        <f>J24-I24</f>
        <v/>
      </c>
      <c r="L24" s="15">
        <f>E24+$H$9*K24*$H$10</f>
        <v/>
      </c>
      <c r="M24" s="15">
        <f>F24+$H$9*K24*C24</f>
        <v/>
      </c>
      <c r="N24" s="15">
        <f>G24+$H$9*K24*D24</f>
        <v/>
      </c>
    </row>
    <row r="25">
      <c r="B25" s="14" t="n">
        <v>6</v>
      </c>
      <c r="C25" s="11" t="n">
        <v>0</v>
      </c>
      <c r="D25" s="11" t="n">
        <v>1</v>
      </c>
      <c r="E25" s="15">
        <f>L24</f>
        <v/>
      </c>
      <c r="F25" s="15">
        <f>M24</f>
        <v/>
      </c>
      <c r="G25" s="15">
        <f>N24</f>
        <v/>
      </c>
      <c r="H25" s="16">
        <f>($H$10*E25)+(C25*F25)+(D25*G25)</f>
        <v/>
      </c>
      <c r="I25" s="17">
        <f>IF(H25&gt;=$H$8,1,0)</f>
        <v/>
      </c>
      <c r="J25" s="11">
        <f>INDEX($D$6:$D$9,2)</f>
        <v/>
      </c>
      <c r="K25" s="18">
        <f>J25-I25</f>
        <v/>
      </c>
      <c r="L25" s="15">
        <f>E25+$H$9*K25*$H$10</f>
        <v/>
      </c>
      <c r="M25" s="15">
        <f>F25+$H$9*K25*C25</f>
        <v/>
      </c>
      <c r="N25" s="15">
        <f>G25+$H$9*K25*D25</f>
        <v/>
      </c>
    </row>
    <row r="26">
      <c r="B26" s="14" t="n">
        <v>7</v>
      </c>
      <c r="C26" s="11" t="n">
        <v>1</v>
      </c>
      <c r="D26" s="11" t="n">
        <v>0</v>
      </c>
      <c r="E26" s="15">
        <f>L25</f>
        <v/>
      </c>
      <c r="F26" s="15">
        <f>M25</f>
        <v/>
      </c>
      <c r="G26" s="15">
        <f>N25</f>
        <v/>
      </c>
      <c r="H26" s="16">
        <f>($H$10*E26)+(C26*F26)+(D26*G26)</f>
        <v/>
      </c>
      <c r="I26" s="17">
        <f>IF(H26&gt;=$H$8,1,0)</f>
        <v/>
      </c>
      <c r="J26" s="11">
        <f>INDEX($D$6:$D$9,3)</f>
        <v/>
      </c>
      <c r="K26" s="18">
        <f>J26-I26</f>
        <v/>
      </c>
      <c r="L26" s="15">
        <f>E26+$H$9*K26*$H$10</f>
        <v/>
      </c>
      <c r="M26" s="15">
        <f>F26+$H$9*K26*C26</f>
        <v/>
      </c>
      <c r="N26" s="15">
        <f>G26+$H$9*K26*D26</f>
        <v/>
      </c>
    </row>
    <row r="27">
      <c r="B27" s="14" t="n">
        <v>8</v>
      </c>
      <c r="C27" s="11" t="n">
        <v>1</v>
      </c>
      <c r="D27" s="11" t="n">
        <v>1</v>
      </c>
      <c r="E27" s="15">
        <f>L26</f>
        <v/>
      </c>
      <c r="F27" s="15">
        <f>M26</f>
        <v/>
      </c>
      <c r="G27" s="15">
        <f>N26</f>
        <v/>
      </c>
      <c r="H27" s="16">
        <f>($H$10*E27)+(C27*F27)+(D27*G27)</f>
        <v/>
      </c>
      <c r="I27" s="17">
        <f>IF(H27&gt;=$H$8,1,0)</f>
        <v/>
      </c>
      <c r="J27" s="11">
        <f>INDEX($D$6:$D$9,4)</f>
        <v/>
      </c>
      <c r="K27" s="18">
        <f>J27-I27</f>
        <v/>
      </c>
      <c r="L27" s="15">
        <f>E27+$H$9*K27*$H$10</f>
        <v/>
      </c>
      <c r="M27" s="15">
        <f>F27+$H$9*K27*C27</f>
        <v/>
      </c>
      <c r="N27" s="15">
        <f>G27+$H$9*K27*D27</f>
        <v/>
      </c>
    </row>
    <row r="28">
      <c r="B28" s="2" t="inlineStr">
        <is>
          <t>Total |ERROR| epoch 2</t>
        </is>
      </c>
      <c r="C28" s="4" t="n"/>
      <c r="D28" s="4" t="n"/>
      <c r="E28" s="4" t="n"/>
      <c r="F28" s="4" t="n"/>
      <c r="G28" s="5" t="n"/>
      <c r="H28" s="18">
        <f>ABS(K24)+ABS(K25)+ABS(K26)+ABS(K27)</f>
        <v/>
      </c>
    </row>
    <row r="30">
      <c r="B30" s="8" t="inlineStr">
        <is>
          <t>EPOCH 3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5" t="n"/>
    </row>
    <row r="31">
      <c r="B31" s="9" t="inlineStr">
        <is>
          <t>STEP</t>
        </is>
      </c>
      <c r="C31" s="9" t="inlineStr">
        <is>
          <t>X1</t>
        </is>
      </c>
      <c r="D31" s="9" t="inlineStr">
        <is>
          <t>X2</t>
        </is>
      </c>
      <c r="E31" s="9" t="inlineStr">
        <is>
          <t>W1</t>
        </is>
      </c>
      <c r="F31" s="9" t="inlineStr">
        <is>
          <t>W2</t>
        </is>
      </c>
      <c r="G31" s="9" t="inlineStr">
        <is>
          <t>W3</t>
        </is>
      </c>
      <c r="H31" s="9" t="inlineStr">
        <is>
          <t>SUM</t>
        </is>
      </c>
      <c r="I31" s="9" t="inlineStr">
        <is>
          <t>OUTPUT</t>
        </is>
      </c>
      <c r="J31" s="9" t="inlineStr">
        <is>
          <t>TARGET</t>
        </is>
      </c>
      <c r="K31" s="9" t="inlineStr">
        <is>
          <t>ERROR</t>
        </is>
      </c>
      <c r="L31" s="9" t="inlineStr">
        <is>
          <t>W1b</t>
        </is>
      </c>
      <c r="M31" s="9" t="inlineStr">
        <is>
          <t>W2b</t>
        </is>
      </c>
      <c r="N31" s="9" t="inlineStr">
        <is>
          <t>W3b</t>
        </is>
      </c>
    </row>
    <row r="32">
      <c r="B32" s="14" t="n">
        <v>9</v>
      </c>
      <c r="C32" s="11" t="n">
        <v>0</v>
      </c>
      <c r="D32" s="11" t="n">
        <v>0</v>
      </c>
      <c r="E32" s="15">
        <f>L27</f>
        <v/>
      </c>
      <c r="F32" s="15">
        <f>M27</f>
        <v/>
      </c>
      <c r="G32" s="15">
        <f>N27</f>
        <v/>
      </c>
      <c r="H32" s="16">
        <f>($H$10*E32)+(C32*F32)+(D32*G32)</f>
        <v/>
      </c>
      <c r="I32" s="17">
        <f>IF(H32&gt;=$H$8,1,0)</f>
        <v/>
      </c>
      <c r="J32" s="11">
        <f>INDEX($D$6:$D$9,1)</f>
        <v/>
      </c>
      <c r="K32" s="18">
        <f>J32-I32</f>
        <v/>
      </c>
      <c r="L32" s="15">
        <f>E32+$H$9*K32*$H$10</f>
        <v/>
      </c>
      <c r="M32" s="15">
        <f>F32+$H$9*K32*C32</f>
        <v/>
      </c>
      <c r="N32" s="15">
        <f>G32+$H$9*K32*D32</f>
        <v/>
      </c>
    </row>
    <row r="33">
      <c r="B33" s="14" t="n">
        <v>10</v>
      </c>
      <c r="C33" s="11" t="n">
        <v>0</v>
      </c>
      <c r="D33" s="11" t="n">
        <v>1</v>
      </c>
      <c r="E33" s="15">
        <f>L32</f>
        <v/>
      </c>
      <c r="F33" s="15">
        <f>M32</f>
        <v/>
      </c>
      <c r="G33" s="15">
        <f>N32</f>
        <v/>
      </c>
      <c r="H33" s="16">
        <f>($H$10*E33)+(C33*F33)+(D33*G33)</f>
        <v/>
      </c>
      <c r="I33" s="17">
        <f>IF(H33&gt;=$H$8,1,0)</f>
        <v/>
      </c>
      <c r="J33" s="11">
        <f>INDEX($D$6:$D$9,2)</f>
        <v/>
      </c>
      <c r="K33" s="18">
        <f>J33-I33</f>
        <v/>
      </c>
      <c r="L33" s="15">
        <f>E33+$H$9*K33*$H$10</f>
        <v/>
      </c>
      <c r="M33" s="15">
        <f>F33+$H$9*K33*C33</f>
        <v/>
      </c>
      <c r="N33" s="15">
        <f>G33+$H$9*K33*D33</f>
        <v/>
      </c>
    </row>
    <row r="34">
      <c r="B34" s="14" t="n">
        <v>11</v>
      </c>
      <c r="C34" s="11" t="n">
        <v>1</v>
      </c>
      <c r="D34" s="11" t="n">
        <v>0</v>
      </c>
      <c r="E34" s="15">
        <f>L33</f>
        <v/>
      </c>
      <c r="F34" s="15">
        <f>M33</f>
        <v/>
      </c>
      <c r="G34" s="15">
        <f>N33</f>
        <v/>
      </c>
      <c r="H34" s="16">
        <f>($H$10*E34)+(C34*F34)+(D34*G34)</f>
        <v/>
      </c>
      <c r="I34" s="17">
        <f>IF(H34&gt;=$H$8,1,0)</f>
        <v/>
      </c>
      <c r="J34" s="11">
        <f>INDEX($D$6:$D$9,3)</f>
        <v/>
      </c>
      <c r="K34" s="18">
        <f>J34-I34</f>
        <v/>
      </c>
      <c r="L34" s="15">
        <f>E34+$H$9*K34*$H$10</f>
        <v/>
      </c>
      <c r="M34" s="15">
        <f>F34+$H$9*K34*C34</f>
        <v/>
      </c>
      <c r="N34" s="15">
        <f>G34+$H$9*K34*D34</f>
        <v/>
      </c>
    </row>
    <row r="35">
      <c r="B35" s="14" t="n">
        <v>12</v>
      </c>
      <c r="C35" s="11" t="n">
        <v>1</v>
      </c>
      <c r="D35" s="11" t="n">
        <v>1</v>
      </c>
      <c r="E35" s="15">
        <f>L34</f>
        <v/>
      </c>
      <c r="F35" s="15">
        <f>M34</f>
        <v/>
      </c>
      <c r="G35" s="15">
        <f>N34</f>
        <v/>
      </c>
      <c r="H35" s="16">
        <f>($H$10*E35)+(C35*F35)+(D35*G35)</f>
        <v/>
      </c>
      <c r="I35" s="17">
        <f>IF(H35&gt;=$H$8,1,0)</f>
        <v/>
      </c>
      <c r="J35" s="11">
        <f>INDEX($D$6:$D$9,4)</f>
        <v/>
      </c>
      <c r="K35" s="18">
        <f>J35-I35</f>
        <v/>
      </c>
      <c r="L35" s="15">
        <f>E35+$H$9*K35*$H$10</f>
        <v/>
      </c>
      <c r="M35" s="15">
        <f>F35+$H$9*K35*C35</f>
        <v/>
      </c>
      <c r="N35" s="15">
        <f>G35+$H$9*K35*D35</f>
        <v/>
      </c>
    </row>
    <row r="36">
      <c r="B36" s="2" t="inlineStr">
        <is>
          <t>Total |ERROR| epoch 3</t>
        </is>
      </c>
      <c r="C36" s="4" t="n"/>
      <c r="D36" s="4" t="n"/>
      <c r="E36" s="4" t="n"/>
      <c r="F36" s="4" t="n"/>
      <c r="G36" s="5" t="n"/>
      <c r="H36" s="18">
        <f>ABS(K32)+ABS(K33)+ABS(K34)+ABS(K35)</f>
        <v/>
      </c>
    </row>
    <row r="38">
      <c r="B38" s="8" t="inlineStr">
        <is>
          <t>EPOCH 4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5" t="n"/>
    </row>
    <row r="39">
      <c r="B39" s="9" t="inlineStr">
        <is>
          <t>STEP</t>
        </is>
      </c>
      <c r="C39" s="9" t="inlineStr">
        <is>
          <t>X1</t>
        </is>
      </c>
      <c r="D39" s="9" t="inlineStr">
        <is>
          <t>X2</t>
        </is>
      </c>
      <c r="E39" s="9" t="inlineStr">
        <is>
          <t>W1</t>
        </is>
      </c>
      <c r="F39" s="9" t="inlineStr">
        <is>
          <t>W2</t>
        </is>
      </c>
      <c r="G39" s="9" t="inlineStr">
        <is>
          <t>W3</t>
        </is>
      </c>
      <c r="H39" s="9" t="inlineStr">
        <is>
          <t>SUM</t>
        </is>
      </c>
      <c r="I39" s="9" t="inlineStr">
        <is>
          <t>OUTPUT</t>
        </is>
      </c>
      <c r="J39" s="9" t="inlineStr">
        <is>
          <t>TARGET</t>
        </is>
      </c>
      <c r="K39" s="9" t="inlineStr">
        <is>
          <t>ERROR</t>
        </is>
      </c>
      <c r="L39" s="9" t="inlineStr">
        <is>
          <t>W1b</t>
        </is>
      </c>
      <c r="M39" s="9" t="inlineStr">
        <is>
          <t>W2b</t>
        </is>
      </c>
      <c r="N39" s="9" t="inlineStr">
        <is>
          <t>W3b</t>
        </is>
      </c>
    </row>
    <row r="40">
      <c r="B40" s="14" t="n">
        <v>13</v>
      </c>
      <c r="C40" s="11" t="n">
        <v>0</v>
      </c>
      <c r="D40" s="11" t="n">
        <v>0</v>
      </c>
      <c r="E40" s="15">
        <f>L35</f>
        <v/>
      </c>
      <c r="F40" s="15">
        <f>M35</f>
        <v/>
      </c>
      <c r="G40" s="15">
        <f>N35</f>
        <v/>
      </c>
      <c r="H40" s="16">
        <f>($H$10*E40)+(C40*F40)+(D40*G40)</f>
        <v/>
      </c>
      <c r="I40" s="17">
        <f>IF(H40&gt;=$H$8,1,0)</f>
        <v/>
      </c>
      <c r="J40" s="11">
        <f>INDEX($D$6:$D$9,1)</f>
        <v/>
      </c>
      <c r="K40" s="18">
        <f>J40-I40</f>
        <v/>
      </c>
      <c r="L40" s="15">
        <f>E40+$H$9*K40*$H$10</f>
        <v/>
      </c>
      <c r="M40" s="15">
        <f>F40+$H$9*K40*C40</f>
        <v/>
      </c>
      <c r="N40" s="15">
        <f>G40+$H$9*K40*D40</f>
        <v/>
      </c>
    </row>
    <row r="41">
      <c r="B41" s="14" t="n">
        <v>14</v>
      </c>
      <c r="C41" s="11" t="n">
        <v>0</v>
      </c>
      <c r="D41" s="11" t="n">
        <v>1</v>
      </c>
      <c r="E41" s="15">
        <f>L40</f>
        <v/>
      </c>
      <c r="F41" s="15">
        <f>M40</f>
        <v/>
      </c>
      <c r="G41" s="15">
        <f>N40</f>
        <v/>
      </c>
      <c r="H41" s="16">
        <f>($H$10*E41)+(C41*F41)+(D41*G41)</f>
        <v/>
      </c>
      <c r="I41" s="17">
        <f>IF(H41&gt;=$H$8,1,0)</f>
        <v/>
      </c>
      <c r="J41" s="11">
        <f>INDEX($D$6:$D$9,2)</f>
        <v/>
      </c>
      <c r="K41" s="18">
        <f>J41-I41</f>
        <v/>
      </c>
      <c r="L41" s="15">
        <f>E41+$H$9*K41*$H$10</f>
        <v/>
      </c>
      <c r="M41" s="15">
        <f>F41+$H$9*K41*C41</f>
        <v/>
      </c>
      <c r="N41" s="15">
        <f>G41+$H$9*K41*D41</f>
        <v/>
      </c>
    </row>
    <row r="42">
      <c r="B42" s="14" t="n">
        <v>15</v>
      </c>
      <c r="C42" s="11" t="n">
        <v>1</v>
      </c>
      <c r="D42" s="11" t="n">
        <v>0</v>
      </c>
      <c r="E42" s="15">
        <f>L41</f>
        <v/>
      </c>
      <c r="F42" s="15">
        <f>M41</f>
        <v/>
      </c>
      <c r="G42" s="15">
        <f>N41</f>
        <v/>
      </c>
      <c r="H42" s="16">
        <f>($H$10*E42)+(C42*F42)+(D42*G42)</f>
        <v/>
      </c>
      <c r="I42" s="17">
        <f>IF(H42&gt;=$H$8,1,0)</f>
        <v/>
      </c>
      <c r="J42" s="11">
        <f>INDEX($D$6:$D$9,3)</f>
        <v/>
      </c>
      <c r="K42" s="18">
        <f>J42-I42</f>
        <v/>
      </c>
      <c r="L42" s="15">
        <f>E42+$H$9*K42*$H$10</f>
        <v/>
      </c>
      <c r="M42" s="15">
        <f>F42+$H$9*K42*C42</f>
        <v/>
      </c>
      <c r="N42" s="15">
        <f>G42+$H$9*K42*D42</f>
        <v/>
      </c>
    </row>
    <row r="43">
      <c r="B43" s="14" t="n">
        <v>16</v>
      </c>
      <c r="C43" s="11" t="n">
        <v>1</v>
      </c>
      <c r="D43" s="11" t="n">
        <v>1</v>
      </c>
      <c r="E43" s="15">
        <f>L42</f>
        <v/>
      </c>
      <c r="F43" s="15">
        <f>M42</f>
        <v/>
      </c>
      <c r="G43" s="15">
        <f>N42</f>
        <v/>
      </c>
      <c r="H43" s="16">
        <f>($H$10*E43)+(C43*F43)+(D43*G43)</f>
        <v/>
      </c>
      <c r="I43" s="17">
        <f>IF(H43&gt;=$H$8,1,0)</f>
        <v/>
      </c>
      <c r="J43" s="11">
        <f>INDEX($D$6:$D$9,4)</f>
        <v/>
      </c>
      <c r="K43" s="18">
        <f>J43-I43</f>
        <v/>
      </c>
      <c r="L43" s="15">
        <f>E43+$H$9*K43*$H$10</f>
        <v/>
      </c>
      <c r="M43" s="15">
        <f>F43+$H$9*K43*C43</f>
        <v/>
      </c>
      <c r="N43" s="15">
        <f>G43+$H$9*K43*D43</f>
        <v/>
      </c>
    </row>
    <row r="44">
      <c r="B44" s="2" t="inlineStr">
        <is>
          <t>Total |ERROR| epoch 4</t>
        </is>
      </c>
      <c r="C44" s="4" t="n"/>
      <c r="D44" s="4" t="n"/>
      <c r="E44" s="4" t="n"/>
      <c r="F44" s="4" t="n"/>
      <c r="G44" s="5" t="n"/>
      <c r="H44" s="18">
        <f>ABS(K40)+ABS(K41)+ABS(K42)+ABS(K43)</f>
        <v/>
      </c>
    </row>
    <row r="46">
      <c r="B46" s="8" t="inlineStr">
        <is>
          <t>EPOCH 5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5" t="n"/>
    </row>
    <row r="47">
      <c r="B47" s="9" t="inlineStr">
        <is>
          <t>STEP</t>
        </is>
      </c>
      <c r="C47" s="9" t="inlineStr">
        <is>
          <t>X1</t>
        </is>
      </c>
      <c r="D47" s="9" t="inlineStr">
        <is>
          <t>X2</t>
        </is>
      </c>
      <c r="E47" s="9" t="inlineStr">
        <is>
          <t>W1</t>
        </is>
      </c>
      <c r="F47" s="9" t="inlineStr">
        <is>
          <t>W2</t>
        </is>
      </c>
      <c r="G47" s="9" t="inlineStr">
        <is>
          <t>W3</t>
        </is>
      </c>
      <c r="H47" s="9" t="inlineStr">
        <is>
          <t>SUM</t>
        </is>
      </c>
      <c r="I47" s="9" t="inlineStr">
        <is>
          <t>OUTPUT</t>
        </is>
      </c>
      <c r="J47" s="9" t="inlineStr">
        <is>
          <t>TARGET</t>
        </is>
      </c>
      <c r="K47" s="9" t="inlineStr">
        <is>
          <t>ERROR</t>
        </is>
      </c>
      <c r="L47" s="9" t="inlineStr">
        <is>
          <t>W1b</t>
        </is>
      </c>
      <c r="M47" s="9" t="inlineStr">
        <is>
          <t>W2b</t>
        </is>
      </c>
      <c r="N47" s="9" t="inlineStr">
        <is>
          <t>W3b</t>
        </is>
      </c>
    </row>
    <row r="48">
      <c r="B48" s="14" t="n">
        <v>17</v>
      </c>
      <c r="C48" s="11" t="n">
        <v>0</v>
      </c>
      <c r="D48" s="11" t="n">
        <v>0</v>
      </c>
      <c r="E48" s="15">
        <f>L43</f>
        <v/>
      </c>
      <c r="F48" s="15">
        <f>M43</f>
        <v/>
      </c>
      <c r="G48" s="15">
        <f>N43</f>
        <v/>
      </c>
      <c r="H48" s="16">
        <f>($H$10*E48)+(C48*F48)+(D48*G48)</f>
        <v/>
      </c>
      <c r="I48" s="17">
        <f>IF(H48&gt;=$H$8,1,0)</f>
        <v/>
      </c>
      <c r="J48" s="11">
        <f>INDEX($D$6:$D$9,1)</f>
        <v/>
      </c>
      <c r="K48" s="18">
        <f>J48-I48</f>
        <v/>
      </c>
      <c r="L48" s="15">
        <f>E48+$H$9*K48*$H$10</f>
        <v/>
      </c>
      <c r="M48" s="15">
        <f>F48+$H$9*K48*C48</f>
        <v/>
      </c>
      <c r="N48" s="15">
        <f>G48+$H$9*K48*D48</f>
        <v/>
      </c>
    </row>
    <row r="49">
      <c r="B49" s="14" t="n">
        <v>18</v>
      </c>
      <c r="C49" s="11" t="n">
        <v>0</v>
      </c>
      <c r="D49" s="11" t="n">
        <v>1</v>
      </c>
      <c r="E49" s="15">
        <f>L48</f>
        <v/>
      </c>
      <c r="F49" s="15">
        <f>M48</f>
        <v/>
      </c>
      <c r="G49" s="15">
        <f>N48</f>
        <v/>
      </c>
      <c r="H49" s="16">
        <f>($H$10*E49)+(C49*F49)+(D49*G49)</f>
        <v/>
      </c>
      <c r="I49" s="17">
        <f>IF(H49&gt;=$H$8,1,0)</f>
        <v/>
      </c>
      <c r="J49" s="11">
        <f>INDEX($D$6:$D$9,2)</f>
        <v/>
      </c>
      <c r="K49" s="18">
        <f>J49-I49</f>
        <v/>
      </c>
      <c r="L49" s="15">
        <f>E49+$H$9*K49*$H$10</f>
        <v/>
      </c>
      <c r="M49" s="15">
        <f>F49+$H$9*K49*C49</f>
        <v/>
      </c>
      <c r="N49" s="15">
        <f>G49+$H$9*K49*D49</f>
        <v/>
      </c>
    </row>
    <row r="50">
      <c r="B50" s="14" t="n">
        <v>19</v>
      </c>
      <c r="C50" s="11" t="n">
        <v>1</v>
      </c>
      <c r="D50" s="11" t="n">
        <v>0</v>
      </c>
      <c r="E50" s="15">
        <f>L49</f>
        <v/>
      </c>
      <c r="F50" s="15">
        <f>M49</f>
        <v/>
      </c>
      <c r="G50" s="15">
        <f>N49</f>
        <v/>
      </c>
      <c r="H50" s="16">
        <f>($H$10*E50)+(C50*F50)+(D50*G50)</f>
        <v/>
      </c>
      <c r="I50" s="17">
        <f>IF(H50&gt;=$H$8,1,0)</f>
        <v/>
      </c>
      <c r="J50" s="11">
        <f>INDEX($D$6:$D$9,3)</f>
        <v/>
      </c>
      <c r="K50" s="18">
        <f>J50-I50</f>
        <v/>
      </c>
      <c r="L50" s="15">
        <f>E50+$H$9*K50*$H$10</f>
        <v/>
      </c>
      <c r="M50" s="15">
        <f>F50+$H$9*K50*C50</f>
        <v/>
      </c>
      <c r="N50" s="15">
        <f>G50+$H$9*K50*D50</f>
        <v/>
      </c>
    </row>
    <row r="51">
      <c r="B51" s="14" t="n">
        <v>20</v>
      </c>
      <c r="C51" s="11" t="n">
        <v>1</v>
      </c>
      <c r="D51" s="11" t="n">
        <v>1</v>
      </c>
      <c r="E51" s="15">
        <f>L50</f>
        <v/>
      </c>
      <c r="F51" s="15">
        <f>M50</f>
        <v/>
      </c>
      <c r="G51" s="15">
        <f>N50</f>
        <v/>
      </c>
      <c r="H51" s="16">
        <f>($H$10*E51)+(C51*F51)+(D51*G51)</f>
        <v/>
      </c>
      <c r="I51" s="17">
        <f>IF(H51&gt;=$H$8,1,0)</f>
        <v/>
      </c>
      <c r="J51" s="11">
        <f>INDEX($D$6:$D$9,4)</f>
        <v/>
      </c>
      <c r="K51" s="18">
        <f>J51-I51</f>
        <v/>
      </c>
      <c r="L51" s="15">
        <f>E51+$H$9*K51*$H$10</f>
        <v/>
      </c>
      <c r="M51" s="15">
        <f>F51+$H$9*K51*C51</f>
        <v/>
      </c>
      <c r="N51" s="15">
        <f>G51+$H$9*K51*D51</f>
        <v/>
      </c>
    </row>
    <row r="52">
      <c r="B52" s="2" t="inlineStr">
        <is>
          <t>Total |ERROR| epoch 5</t>
        </is>
      </c>
      <c r="C52" s="4" t="n"/>
      <c r="D52" s="4" t="n"/>
      <c r="E52" s="4" t="n"/>
      <c r="F52" s="4" t="n"/>
      <c r="G52" s="5" t="n"/>
      <c r="H52" s="18">
        <f>ABS(K48)+ABS(K49)+ABS(K50)+ABS(K51)</f>
        <v/>
      </c>
    </row>
    <row r="54">
      <c r="B54" s="8" t="inlineStr">
        <is>
          <t>WEIGHT AKHIR (setelah 20 langkah)</t>
        </is>
      </c>
      <c r="C54" s="4" t="n"/>
      <c r="D54" s="5" t="n"/>
    </row>
    <row r="55">
      <c r="B55" s="9" t="inlineStr">
        <is>
          <t>WEIGHT</t>
        </is>
      </c>
      <c r="C55" s="9" t="inlineStr">
        <is>
          <t>NILAI</t>
        </is>
      </c>
      <c r="D55" s="9" t="inlineStr">
        <is>
          <t>KETERANGAN</t>
        </is>
      </c>
    </row>
    <row r="56">
      <c r="B56" s="14" t="inlineStr">
        <is>
          <t>W1</t>
        </is>
      </c>
      <c r="C56" s="10">
        <f>L51</f>
        <v/>
      </c>
      <c r="D56" s="3" t="inlineStr">
        <is>
          <t>bobot bias</t>
        </is>
      </c>
    </row>
    <row r="57">
      <c r="B57" s="14" t="inlineStr">
        <is>
          <t>W2</t>
        </is>
      </c>
      <c r="C57" s="10">
        <f>M51</f>
        <v/>
      </c>
      <c r="D57" s="3" t="inlineStr">
        <is>
          <t>bobot X1</t>
        </is>
      </c>
    </row>
    <row r="58">
      <c r="B58" s="14" t="inlineStr">
        <is>
          <t>W3</t>
        </is>
      </c>
      <c r="C58" s="10">
        <f>N51</f>
        <v/>
      </c>
      <c r="D58" s="3" t="inlineStr">
        <is>
          <t>bobot X2</t>
        </is>
      </c>
    </row>
    <row r="60">
      <c r="B60" s="19" t="inlineStr">
        <is>
          <t>KESIMPULAN: bobot terus berosilasi dan total |ERROR| tidak pernah nol. XOR bukan linearly separable, sehingga Single Layer Perceptron mustahil konvergen berapa pun epoch-nya.</t>
        </is>
      </c>
    </row>
  </sheetData>
  <mergeCells count="22">
    <mergeCell ref="F11:G11"/>
    <mergeCell ref="F10:G10"/>
    <mergeCell ref="F6:G6"/>
    <mergeCell ref="B30:N30"/>
    <mergeCell ref="B44:G44"/>
    <mergeCell ref="F7:G7"/>
    <mergeCell ref="B28:G28"/>
    <mergeCell ref="F5:G5"/>
    <mergeCell ref="F8:G8"/>
    <mergeCell ref="B46:N46"/>
    <mergeCell ref="B20:G20"/>
    <mergeCell ref="B22:N22"/>
    <mergeCell ref="B36:G36"/>
    <mergeCell ref="B4:D4"/>
    <mergeCell ref="F4:H4"/>
    <mergeCell ref="B2:N2"/>
    <mergeCell ref="F9:G9"/>
    <mergeCell ref="B54:D54"/>
    <mergeCell ref="B14:N14"/>
    <mergeCell ref="B60:N60"/>
    <mergeCell ref="B52:G52"/>
    <mergeCell ref="B38:N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G69"/>
  <sheetViews>
    <sheetView showGridLines="0" workbookViewId="0">
      <selection activeCell="A1" sqref="A1"/>
    </sheetView>
  </sheetViews>
  <sheetFormatPr baseColWidth="8" defaultRowHeight="15"/>
  <cols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2">
      <c r="B2" s="1" t="inlineStr">
        <is>
          <t>MULTI LAYER PERCEPTRON + BACKPROPAGATION - XOR   (fungsi train_mlp)</t>
        </is>
      </c>
    </row>
    <row r="4">
      <c r="B4" s="8" t="inlineStr">
        <is>
          <t>TABEL KEBENARAN</t>
        </is>
      </c>
      <c r="C4" s="4" t="n"/>
      <c r="D4" s="5" t="n"/>
      <c r="F4" s="8" t="inlineStr">
        <is>
          <t>BOBOT AWAL &amp; PARAMETER   (seed = 41)</t>
        </is>
      </c>
      <c r="G4" s="4" t="n"/>
      <c r="H4" s="4" t="n"/>
      <c r="I4" s="4" t="n"/>
      <c r="J4" s="5" t="n"/>
    </row>
    <row r="5">
      <c r="B5" s="9" t="inlineStr">
        <is>
          <t>I1</t>
        </is>
      </c>
      <c r="C5" s="9" t="inlineStr">
        <is>
          <t>I2</t>
        </is>
      </c>
      <c r="D5" s="9" t="inlineStr">
        <is>
          <t>Target</t>
        </is>
      </c>
      <c r="F5" s="6" t="inlineStr">
        <is>
          <t>wi(0,1)   bias -&gt; H1</t>
        </is>
      </c>
      <c r="G5" s="4" t="n"/>
      <c r="H5" s="4" t="n"/>
      <c r="I5" s="5" t="n"/>
      <c r="J5" s="10" t="n">
        <v>-0.2490763762550599</v>
      </c>
    </row>
    <row r="6">
      <c r="B6" s="11" t="n">
        <v>0</v>
      </c>
      <c r="C6" s="11" t="n">
        <v>0</v>
      </c>
      <c r="D6" s="12" t="n">
        <v>0</v>
      </c>
      <c r="F6" s="6" t="inlineStr">
        <is>
          <t>wi(1,1)   I1 -&gt; H1</t>
        </is>
      </c>
      <c r="G6" s="4" t="n"/>
      <c r="H6" s="4" t="n"/>
      <c r="I6" s="5" t="n"/>
      <c r="J6" s="10" t="n">
        <v>0.1768162411105584</v>
      </c>
    </row>
    <row r="7">
      <c r="B7" s="11" t="n">
        <v>0</v>
      </c>
      <c r="C7" s="11" t="n">
        <v>1</v>
      </c>
      <c r="D7" s="12" t="n">
        <v>1</v>
      </c>
      <c r="F7" s="6" t="inlineStr">
        <is>
          <t>wi(2,1)   I2 -&gt; H1</t>
        </is>
      </c>
      <c r="G7" s="4" t="n"/>
      <c r="H7" s="4" t="n"/>
      <c r="I7" s="5" t="n"/>
      <c r="J7" s="10" t="n">
        <v>-0.3835762968334687</v>
      </c>
    </row>
    <row r="8">
      <c r="B8" s="11" t="n">
        <v>1</v>
      </c>
      <c r="C8" s="11" t="n">
        <v>0</v>
      </c>
      <c r="D8" s="12" t="n">
        <v>1</v>
      </c>
      <c r="F8" s="6" t="inlineStr">
        <is>
          <t>wi(0,2)   bias -&gt; H2</t>
        </is>
      </c>
      <c r="G8" s="4" t="n"/>
      <c r="H8" s="4" t="n"/>
      <c r="I8" s="5" t="n"/>
      <c r="J8" s="10" t="n">
        <v>-0.4539041793273882</v>
      </c>
    </row>
    <row r="9">
      <c r="B9" s="11" t="n">
        <v>1</v>
      </c>
      <c r="C9" s="11" t="n">
        <v>1</v>
      </c>
      <c r="D9" s="12" t="n">
        <v>0</v>
      </c>
      <c r="F9" s="6" t="inlineStr">
        <is>
          <t>wi(1,2)   I1 -&gt; H2</t>
        </is>
      </c>
      <c r="G9" s="4" t="n"/>
      <c r="H9" s="4" t="n"/>
      <c r="I9" s="5" t="n"/>
      <c r="J9" s="10" t="n">
        <v>-0.4565305143552479</v>
      </c>
    </row>
    <row r="10">
      <c r="F10" s="6" t="inlineStr">
        <is>
          <t>wi(2,2)   I2 -&gt; H2</t>
        </is>
      </c>
      <c r="G10" s="4" t="n"/>
      <c r="H10" s="4" t="n"/>
      <c r="I10" s="5" t="n"/>
      <c r="J10" s="10" t="n">
        <v>0.1038656889488131</v>
      </c>
    </row>
    <row r="11">
      <c r="F11" s="6" t="inlineStr">
        <is>
          <t>wh0    bias -&gt; C</t>
        </is>
      </c>
      <c r="G11" s="4" t="n"/>
      <c r="H11" s="4" t="n"/>
      <c r="I11" s="5" t="n"/>
      <c r="J11" s="10" t="n">
        <v>-0.3090693372202609</v>
      </c>
    </row>
    <row r="12">
      <c r="F12" s="6" t="inlineStr">
        <is>
          <t>wh1    H1 -&gt; C</t>
        </is>
      </c>
      <c r="G12" s="4" t="n"/>
      <c r="H12" s="4" t="n"/>
      <c r="I12" s="5" t="n"/>
      <c r="J12" s="10" t="n">
        <v>0.1685157172603458</v>
      </c>
    </row>
    <row r="13">
      <c r="F13" s="6" t="inlineStr">
        <is>
          <t>wh2    H2 -&gt; C</t>
        </is>
      </c>
      <c r="G13" s="4" t="n"/>
      <c r="H13" s="4" t="n"/>
      <c r="I13" s="5" t="n"/>
      <c r="J13" s="10" t="n">
        <v>0.4174478488708967</v>
      </c>
    </row>
    <row r="14">
      <c r="F14" s="6" t="inlineStr">
        <is>
          <t>mu (learning rate)</t>
        </is>
      </c>
      <c r="G14" s="4" t="n"/>
      <c r="H14" s="4" t="n"/>
      <c r="I14" s="5" t="n"/>
      <c r="J14" s="10" t="n">
        <v>0.5</v>
      </c>
    </row>
    <row r="18">
      <c r="B18" s="8" t="inlineStr">
        <is>
          <t>EPOCH 1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5" t="n"/>
    </row>
    <row r="19">
      <c r="B19" s="9" t="inlineStr">
        <is>
          <t>STEP</t>
        </is>
      </c>
      <c r="C19" s="9" t="inlineStr">
        <is>
          <t>I1</t>
        </is>
      </c>
      <c r="D19" s="9" t="inlineStr">
        <is>
          <t>I2</t>
        </is>
      </c>
      <c r="E19" s="9" t="inlineStr">
        <is>
          <t>wi(0,1)</t>
        </is>
      </c>
      <c r="F19" s="9" t="inlineStr">
        <is>
          <t>wi(1,1)</t>
        </is>
      </c>
      <c r="G19" s="9" t="inlineStr">
        <is>
          <t>wi(2,1)</t>
        </is>
      </c>
      <c r="H19" s="9" t="inlineStr">
        <is>
          <t>wi(0,2)</t>
        </is>
      </c>
      <c r="I19" s="9" t="inlineStr">
        <is>
          <t>wi(1,2)</t>
        </is>
      </c>
      <c r="J19" s="9" t="inlineStr">
        <is>
          <t>wi(2,2)</t>
        </is>
      </c>
      <c r="K19" s="9" t="inlineStr">
        <is>
          <t>wh0</t>
        </is>
      </c>
      <c r="L19" s="9" t="inlineStr">
        <is>
          <t>wh1</t>
        </is>
      </c>
      <c r="M19" s="9" t="inlineStr">
        <is>
          <t>wh2</t>
        </is>
      </c>
      <c r="N19" s="9" t="inlineStr">
        <is>
          <t>SI1</t>
        </is>
      </c>
      <c r="O19" s="9" t="inlineStr">
        <is>
          <t>SI2</t>
        </is>
      </c>
      <c r="P19" s="9" t="inlineStr">
        <is>
          <t>H1</t>
        </is>
      </c>
      <c r="Q19" s="9" t="inlineStr">
        <is>
          <t>H2</t>
        </is>
      </c>
      <c r="R19" s="9" t="inlineStr">
        <is>
          <t>SH</t>
        </is>
      </c>
      <c r="S19" s="9" t="inlineStr">
        <is>
          <t>C</t>
        </is>
      </c>
      <c r="T19" s="9" t="inlineStr">
        <is>
          <t>TARGET</t>
        </is>
      </c>
      <c r="U19" s="9" t="inlineStr">
        <is>
          <t>SE</t>
        </is>
      </c>
      <c r="V19" s="9" t="inlineStr">
        <is>
          <t>dC</t>
        </is>
      </c>
      <c r="W19" s="9" t="inlineStr">
        <is>
          <t>dH1</t>
        </is>
      </c>
      <c r="X19" s="9" t="inlineStr">
        <is>
          <t>dH2</t>
        </is>
      </c>
      <c r="Y19" s="9" t="inlineStr">
        <is>
          <t>wi(0,1) BARU</t>
        </is>
      </c>
      <c r="Z19" s="9" t="inlineStr">
        <is>
          <t>wi(1,1) BARU</t>
        </is>
      </c>
      <c r="AA19" s="9" t="inlineStr">
        <is>
          <t>wi(2,1) BARU</t>
        </is>
      </c>
      <c r="AB19" s="9" t="inlineStr">
        <is>
          <t>wi(0,2) BARU</t>
        </is>
      </c>
      <c r="AC19" s="9" t="inlineStr">
        <is>
          <t>wi(1,2) BARU</t>
        </is>
      </c>
      <c r="AD19" s="9" t="inlineStr">
        <is>
          <t>wi(2,2) BARU</t>
        </is>
      </c>
      <c r="AE19" s="9" t="inlineStr">
        <is>
          <t>wh0 BARU</t>
        </is>
      </c>
      <c r="AF19" s="9" t="inlineStr">
        <is>
          <t>wh1 BARU</t>
        </is>
      </c>
      <c r="AG19" s="9" t="inlineStr">
        <is>
          <t>wh2 BARU</t>
        </is>
      </c>
    </row>
    <row r="20">
      <c r="B20" s="14" t="n">
        <v>1</v>
      </c>
      <c r="C20" s="11" t="n">
        <v>0</v>
      </c>
      <c r="D20" s="11" t="n">
        <v>0</v>
      </c>
      <c r="E20" s="15">
        <f>$J$5</f>
        <v/>
      </c>
      <c r="F20" s="15">
        <f>$J$6</f>
        <v/>
      </c>
      <c r="G20" s="15">
        <f>$J$7</f>
        <v/>
      </c>
      <c r="H20" s="15">
        <f>$J$8</f>
        <v/>
      </c>
      <c r="I20" s="15">
        <f>$J$9</f>
        <v/>
      </c>
      <c r="J20" s="15">
        <f>$J$10</f>
        <v/>
      </c>
      <c r="K20" s="15">
        <f>$J$11</f>
        <v/>
      </c>
      <c r="L20" s="15">
        <f>$J$12</f>
        <v/>
      </c>
      <c r="M20" s="15">
        <f>$J$13</f>
        <v/>
      </c>
      <c r="N20" s="16">
        <f>E20+F20*C20+G20*D20</f>
        <v/>
      </c>
      <c r="O20" s="16">
        <f>H20+I20*C20+J20*D20</f>
        <v/>
      </c>
      <c r="P20" s="20">
        <f>1/(1+EXP(-N20))</f>
        <v/>
      </c>
      <c r="Q20" s="20">
        <f>1/(1+EXP(-O20))</f>
        <v/>
      </c>
      <c r="R20" s="16">
        <f>K20+L20*P20+M20*Q20</f>
        <v/>
      </c>
      <c r="S20" s="21">
        <f>1/(1+EXP(-R20))</f>
        <v/>
      </c>
      <c r="T20" s="14">
        <f>INDEX($D$6:$D$9,1)</f>
        <v/>
      </c>
      <c r="U20" s="22">
        <f>(T20-S20)^2</f>
        <v/>
      </c>
      <c r="V20" s="22">
        <f>S20*(1-S20)*(T20-S20)</f>
        <v/>
      </c>
      <c r="W20" s="22">
        <f>P20*(1-P20)*L20*V20</f>
        <v/>
      </c>
      <c r="X20" s="22">
        <f>Q20*(1-Q20)*M20*V20</f>
        <v/>
      </c>
      <c r="Y20" s="15">
        <f>E20+$J$14*1*W20</f>
        <v/>
      </c>
      <c r="Z20" s="15">
        <f>F20+$J$14*C20*W20</f>
        <v/>
      </c>
      <c r="AA20" s="15">
        <f>G20+$J$14*D20*W20</f>
        <v/>
      </c>
      <c r="AB20" s="15">
        <f>H20+$J$14*1*X20</f>
        <v/>
      </c>
      <c r="AC20" s="15">
        <f>I20+$J$14*C20*X20</f>
        <v/>
      </c>
      <c r="AD20" s="15">
        <f>J20+$J$14*D20*X20</f>
        <v/>
      </c>
      <c r="AE20" s="15">
        <f>K20+$J$14*1*V20</f>
        <v/>
      </c>
      <c r="AF20" s="15">
        <f>L20+$J$14*P20*V20</f>
        <v/>
      </c>
      <c r="AG20" s="15">
        <f>M20+$J$14*Q20*V20</f>
        <v/>
      </c>
    </row>
    <row r="21">
      <c r="B21" s="14" t="n">
        <v>2</v>
      </c>
      <c r="C21" s="11" t="n">
        <v>0</v>
      </c>
      <c r="D21" s="11" t="n">
        <v>1</v>
      </c>
      <c r="E21" s="15">
        <f>Y20</f>
        <v/>
      </c>
      <c r="F21" s="15">
        <f>Z20</f>
        <v/>
      </c>
      <c r="G21" s="15">
        <f>AA20</f>
        <v/>
      </c>
      <c r="H21" s="15">
        <f>AB20</f>
        <v/>
      </c>
      <c r="I21" s="15">
        <f>AC20</f>
        <v/>
      </c>
      <c r="J21" s="15">
        <f>AD20</f>
        <v/>
      </c>
      <c r="K21" s="15">
        <f>AE20</f>
        <v/>
      </c>
      <c r="L21" s="15">
        <f>AF20</f>
        <v/>
      </c>
      <c r="M21" s="15">
        <f>AG20</f>
        <v/>
      </c>
      <c r="N21" s="16">
        <f>E21+F21*C21+G21*D21</f>
        <v/>
      </c>
      <c r="O21" s="16">
        <f>H21+I21*C21+J21*D21</f>
        <v/>
      </c>
      <c r="P21" s="20">
        <f>1/(1+EXP(-N21))</f>
        <v/>
      </c>
      <c r="Q21" s="20">
        <f>1/(1+EXP(-O21))</f>
        <v/>
      </c>
      <c r="R21" s="16">
        <f>K21+L21*P21+M21*Q21</f>
        <v/>
      </c>
      <c r="S21" s="21">
        <f>1/(1+EXP(-R21))</f>
        <v/>
      </c>
      <c r="T21" s="14">
        <f>INDEX($D$6:$D$9,2)</f>
        <v/>
      </c>
      <c r="U21" s="22">
        <f>(T21-S21)^2</f>
        <v/>
      </c>
      <c r="V21" s="22">
        <f>S21*(1-S21)*(T21-S21)</f>
        <v/>
      </c>
      <c r="W21" s="22">
        <f>P21*(1-P21)*L21*V21</f>
        <v/>
      </c>
      <c r="X21" s="22">
        <f>Q21*(1-Q21)*M21*V21</f>
        <v/>
      </c>
      <c r="Y21" s="15">
        <f>E21+$J$14*1*W21</f>
        <v/>
      </c>
      <c r="Z21" s="15">
        <f>F21+$J$14*C21*W21</f>
        <v/>
      </c>
      <c r="AA21" s="15">
        <f>G21+$J$14*D21*W21</f>
        <v/>
      </c>
      <c r="AB21" s="15">
        <f>H21+$J$14*1*X21</f>
        <v/>
      </c>
      <c r="AC21" s="15">
        <f>I21+$J$14*C21*X21</f>
        <v/>
      </c>
      <c r="AD21" s="15">
        <f>J21+$J$14*D21*X21</f>
        <v/>
      </c>
      <c r="AE21" s="15">
        <f>K21+$J$14*1*V21</f>
        <v/>
      </c>
      <c r="AF21" s="15">
        <f>L21+$J$14*P21*V21</f>
        <v/>
      </c>
      <c r="AG21" s="15">
        <f>M21+$J$14*Q21*V21</f>
        <v/>
      </c>
    </row>
    <row r="22">
      <c r="B22" s="14" t="n">
        <v>3</v>
      </c>
      <c r="C22" s="11" t="n">
        <v>1</v>
      </c>
      <c r="D22" s="11" t="n">
        <v>0</v>
      </c>
      <c r="E22" s="15">
        <f>Y21</f>
        <v/>
      </c>
      <c r="F22" s="15">
        <f>Z21</f>
        <v/>
      </c>
      <c r="G22" s="15">
        <f>AA21</f>
        <v/>
      </c>
      <c r="H22" s="15">
        <f>AB21</f>
        <v/>
      </c>
      <c r="I22" s="15">
        <f>AC21</f>
        <v/>
      </c>
      <c r="J22" s="15">
        <f>AD21</f>
        <v/>
      </c>
      <c r="K22" s="15">
        <f>AE21</f>
        <v/>
      </c>
      <c r="L22" s="15">
        <f>AF21</f>
        <v/>
      </c>
      <c r="M22" s="15">
        <f>AG21</f>
        <v/>
      </c>
      <c r="N22" s="16">
        <f>E22+F22*C22+G22*D22</f>
        <v/>
      </c>
      <c r="O22" s="16">
        <f>H22+I22*C22+J22*D22</f>
        <v/>
      </c>
      <c r="P22" s="20">
        <f>1/(1+EXP(-N22))</f>
        <v/>
      </c>
      <c r="Q22" s="20">
        <f>1/(1+EXP(-O22))</f>
        <v/>
      </c>
      <c r="R22" s="16">
        <f>K22+L22*P22+M22*Q22</f>
        <v/>
      </c>
      <c r="S22" s="21">
        <f>1/(1+EXP(-R22))</f>
        <v/>
      </c>
      <c r="T22" s="14">
        <f>INDEX($D$6:$D$9,3)</f>
        <v/>
      </c>
      <c r="U22" s="22">
        <f>(T22-S22)^2</f>
        <v/>
      </c>
      <c r="V22" s="22">
        <f>S22*(1-S22)*(T22-S22)</f>
        <v/>
      </c>
      <c r="W22" s="22">
        <f>P22*(1-P22)*L22*V22</f>
        <v/>
      </c>
      <c r="X22" s="22">
        <f>Q22*(1-Q22)*M22*V22</f>
        <v/>
      </c>
      <c r="Y22" s="15">
        <f>E22+$J$14*1*W22</f>
        <v/>
      </c>
      <c r="Z22" s="15">
        <f>F22+$J$14*C22*W22</f>
        <v/>
      </c>
      <c r="AA22" s="15">
        <f>G22+$J$14*D22*W22</f>
        <v/>
      </c>
      <c r="AB22" s="15">
        <f>H22+$J$14*1*X22</f>
        <v/>
      </c>
      <c r="AC22" s="15">
        <f>I22+$J$14*C22*X22</f>
        <v/>
      </c>
      <c r="AD22" s="15">
        <f>J22+$J$14*D22*X22</f>
        <v/>
      </c>
      <c r="AE22" s="15">
        <f>K22+$J$14*1*V22</f>
        <v/>
      </c>
      <c r="AF22" s="15">
        <f>L22+$J$14*P22*V22</f>
        <v/>
      </c>
      <c r="AG22" s="15">
        <f>M22+$J$14*Q22*V22</f>
        <v/>
      </c>
    </row>
    <row r="23">
      <c r="B23" s="14" t="n">
        <v>4</v>
      </c>
      <c r="C23" s="11" t="n">
        <v>1</v>
      </c>
      <c r="D23" s="11" t="n">
        <v>1</v>
      </c>
      <c r="E23" s="15">
        <f>Y22</f>
        <v/>
      </c>
      <c r="F23" s="15">
        <f>Z22</f>
        <v/>
      </c>
      <c r="G23" s="15">
        <f>AA22</f>
        <v/>
      </c>
      <c r="H23" s="15">
        <f>AB22</f>
        <v/>
      </c>
      <c r="I23" s="15">
        <f>AC22</f>
        <v/>
      </c>
      <c r="J23" s="15">
        <f>AD22</f>
        <v/>
      </c>
      <c r="K23" s="15">
        <f>AE22</f>
        <v/>
      </c>
      <c r="L23" s="15">
        <f>AF22</f>
        <v/>
      </c>
      <c r="M23" s="15">
        <f>AG22</f>
        <v/>
      </c>
      <c r="N23" s="16">
        <f>E23+F23*C23+G23*D23</f>
        <v/>
      </c>
      <c r="O23" s="16">
        <f>H23+I23*C23+J23*D23</f>
        <v/>
      </c>
      <c r="P23" s="20">
        <f>1/(1+EXP(-N23))</f>
        <v/>
      </c>
      <c r="Q23" s="20">
        <f>1/(1+EXP(-O23))</f>
        <v/>
      </c>
      <c r="R23" s="16">
        <f>K23+L23*P23+M23*Q23</f>
        <v/>
      </c>
      <c r="S23" s="21">
        <f>1/(1+EXP(-R23))</f>
        <v/>
      </c>
      <c r="T23" s="14">
        <f>INDEX($D$6:$D$9,4)</f>
        <v/>
      </c>
      <c r="U23" s="22">
        <f>(T23-S23)^2</f>
        <v/>
      </c>
      <c r="V23" s="22">
        <f>S23*(1-S23)*(T23-S23)</f>
        <v/>
      </c>
      <c r="W23" s="22">
        <f>P23*(1-P23)*L23*V23</f>
        <v/>
      </c>
      <c r="X23" s="22">
        <f>Q23*(1-Q23)*M23*V23</f>
        <v/>
      </c>
      <c r="Y23" s="15">
        <f>E23+$J$14*1*W23</f>
        <v/>
      </c>
      <c r="Z23" s="15">
        <f>F23+$J$14*C23*W23</f>
        <v/>
      </c>
      <c r="AA23" s="15">
        <f>G23+$J$14*D23*W23</f>
        <v/>
      </c>
      <c r="AB23" s="15">
        <f>H23+$J$14*1*X23</f>
        <v/>
      </c>
      <c r="AC23" s="15">
        <f>I23+$J$14*C23*X23</f>
        <v/>
      </c>
      <c r="AD23" s="15">
        <f>J23+$J$14*D23*X23</f>
        <v/>
      </c>
      <c r="AE23" s="15">
        <f>K23+$J$14*1*V23</f>
        <v/>
      </c>
      <c r="AF23" s="15">
        <f>L23+$J$14*P23*V23</f>
        <v/>
      </c>
      <c r="AG23" s="15">
        <f>M23+$J$14*Q23*V23</f>
        <v/>
      </c>
    </row>
    <row r="24">
      <c r="B24" s="2" t="inlineStr">
        <is>
          <t>MSE EPOCH 1   = rata-rata SE dari 4 pola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5" t="n"/>
      <c r="U24" s="23">
        <f>AVERAGE(U20:U23)</f>
        <v/>
      </c>
    </row>
    <row r="26">
      <c r="B26" s="8" t="inlineStr">
        <is>
          <t>EPOCH 2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5" t="n"/>
    </row>
    <row r="27">
      <c r="B27" s="9" t="inlineStr">
        <is>
          <t>STEP</t>
        </is>
      </c>
      <c r="C27" s="9" t="inlineStr">
        <is>
          <t>I1</t>
        </is>
      </c>
      <c r="D27" s="9" t="inlineStr">
        <is>
          <t>I2</t>
        </is>
      </c>
      <c r="E27" s="9" t="inlineStr">
        <is>
          <t>wi(0,1)</t>
        </is>
      </c>
      <c r="F27" s="9" t="inlineStr">
        <is>
          <t>wi(1,1)</t>
        </is>
      </c>
      <c r="G27" s="9" t="inlineStr">
        <is>
          <t>wi(2,1)</t>
        </is>
      </c>
      <c r="H27" s="9" t="inlineStr">
        <is>
          <t>wi(0,2)</t>
        </is>
      </c>
      <c r="I27" s="9" t="inlineStr">
        <is>
          <t>wi(1,2)</t>
        </is>
      </c>
      <c r="J27" s="9" t="inlineStr">
        <is>
          <t>wi(2,2)</t>
        </is>
      </c>
      <c r="K27" s="9" t="inlineStr">
        <is>
          <t>wh0</t>
        </is>
      </c>
      <c r="L27" s="9" t="inlineStr">
        <is>
          <t>wh1</t>
        </is>
      </c>
      <c r="M27" s="9" t="inlineStr">
        <is>
          <t>wh2</t>
        </is>
      </c>
      <c r="N27" s="9" t="inlineStr">
        <is>
          <t>SI1</t>
        </is>
      </c>
      <c r="O27" s="9" t="inlineStr">
        <is>
          <t>SI2</t>
        </is>
      </c>
      <c r="P27" s="9" t="inlineStr">
        <is>
          <t>H1</t>
        </is>
      </c>
      <c r="Q27" s="9" t="inlineStr">
        <is>
          <t>H2</t>
        </is>
      </c>
      <c r="R27" s="9" t="inlineStr">
        <is>
          <t>SH</t>
        </is>
      </c>
      <c r="S27" s="9" t="inlineStr">
        <is>
          <t>C</t>
        </is>
      </c>
      <c r="T27" s="9" t="inlineStr">
        <is>
          <t>TARGET</t>
        </is>
      </c>
      <c r="U27" s="9" t="inlineStr">
        <is>
          <t>SE</t>
        </is>
      </c>
      <c r="V27" s="9" t="inlineStr">
        <is>
          <t>dC</t>
        </is>
      </c>
      <c r="W27" s="9" t="inlineStr">
        <is>
          <t>dH1</t>
        </is>
      </c>
      <c r="X27" s="9" t="inlineStr">
        <is>
          <t>dH2</t>
        </is>
      </c>
      <c r="Y27" s="9" t="inlineStr">
        <is>
          <t>wi(0,1) BARU</t>
        </is>
      </c>
      <c r="Z27" s="9" t="inlineStr">
        <is>
          <t>wi(1,1) BARU</t>
        </is>
      </c>
      <c r="AA27" s="9" t="inlineStr">
        <is>
          <t>wi(2,1) BARU</t>
        </is>
      </c>
      <c r="AB27" s="9" t="inlineStr">
        <is>
          <t>wi(0,2) BARU</t>
        </is>
      </c>
      <c r="AC27" s="9" t="inlineStr">
        <is>
          <t>wi(1,2) BARU</t>
        </is>
      </c>
      <c r="AD27" s="9" t="inlineStr">
        <is>
          <t>wi(2,2) BARU</t>
        </is>
      </c>
      <c r="AE27" s="9" t="inlineStr">
        <is>
          <t>wh0 BARU</t>
        </is>
      </c>
      <c r="AF27" s="9" t="inlineStr">
        <is>
          <t>wh1 BARU</t>
        </is>
      </c>
      <c r="AG27" s="9" t="inlineStr">
        <is>
          <t>wh2 BARU</t>
        </is>
      </c>
    </row>
    <row r="28">
      <c r="B28" s="14" t="n">
        <v>5</v>
      </c>
      <c r="C28" s="11" t="n">
        <v>0</v>
      </c>
      <c r="D28" s="11" t="n">
        <v>0</v>
      </c>
      <c r="E28" s="15">
        <f>Y23</f>
        <v/>
      </c>
      <c r="F28" s="15">
        <f>Z23</f>
        <v/>
      </c>
      <c r="G28" s="15">
        <f>AA23</f>
        <v/>
      </c>
      <c r="H28" s="15">
        <f>AB23</f>
        <v/>
      </c>
      <c r="I28" s="15">
        <f>AC23</f>
        <v/>
      </c>
      <c r="J28" s="15">
        <f>AD23</f>
        <v/>
      </c>
      <c r="K28" s="15">
        <f>AE23</f>
        <v/>
      </c>
      <c r="L28" s="15">
        <f>AF23</f>
        <v/>
      </c>
      <c r="M28" s="15">
        <f>AG23</f>
        <v/>
      </c>
      <c r="N28" s="16">
        <f>E28+F28*C28+G28*D28</f>
        <v/>
      </c>
      <c r="O28" s="16">
        <f>H28+I28*C28+J28*D28</f>
        <v/>
      </c>
      <c r="P28" s="20">
        <f>1/(1+EXP(-N28))</f>
        <v/>
      </c>
      <c r="Q28" s="20">
        <f>1/(1+EXP(-O28))</f>
        <v/>
      </c>
      <c r="R28" s="16">
        <f>K28+L28*P28+M28*Q28</f>
        <v/>
      </c>
      <c r="S28" s="21">
        <f>1/(1+EXP(-R28))</f>
        <v/>
      </c>
      <c r="T28" s="14">
        <f>INDEX($D$6:$D$9,1)</f>
        <v/>
      </c>
      <c r="U28" s="22">
        <f>(T28-S28)^2</f>
        <v/>
      </c>
      <c r="V28" s="22">
        <f>S28*(1-S28)*(T28-S28)</f>
        <v/>
      </c>
      <c r="W28" s="22">
        <f>P28*(1-P28)*L28*V28</f>
        <v/>
      </c>
      <c r="X28" s="22">
        <f>Q28*(1-Q28)*M28*V28</f>
        <v/>
      </c>
      <c r="Y28" s="15">
        <f>E28+$J$14*1*W28</f>
        <v/>
      </c>
      <c r="Z28" s="15">
        <f>F28+$J$14*C28*W28</f>
        <v/>
      </c>
      <c r="AA28" s="15">
        <f>G28+$J$14*D28*W28</f>
        <v/>
      </c>
      <c r="AB28" s="15">
        <f>H28+$J$14*1*X28</f>
        <v/>
      </c>
      <c r="AC28" s="15">
        <f>I28+$J$14*C28*X28</f>
        <v/>
      </c>
      <c r="AD28" s="15">
        <f>J28+$J$14*D28*X28</f>
        <v/>
      </c>
      <c r="AE28" s="15">
        <f>K28+$J$14*1*V28</f>
        <v/>
      </c>
      <c r="AF28" s="15">
        <f>L28+$J$14*P28*V28</f>
        <v/>
      </c>
      <c r="AG28" s="15">
        <f>M28+$J$14*Q28*V28</f>
        <v/>
      </c>
    </row>
    <row r="29">
      <c r="B29" s="14" t="n">
        <v>6</v>
      </c>
      <c r="C29" s="11" t="n">
        <v>0</v>
      </c>
      <c r="D29" s="11" t="n">
        <v>1</v>
      </c>
      <c r="E29" s="15">
        <f>Y28</f>
        <v/>
      </c>
      <c r="F29" s="15">
        <f>Z28</f>
        <v/>
      </c>
      <c r="G29" s="15">
        <f>AA28</f>
        <v/>
      </c>
      <c r="H29" s="15">
        <f>AB28</f>
        <v/>
      </c>
      <c r="I29" s="15">
        <f>AC28</f>
        <v/>
      </c>
      <c r="J29" s="15">
        <f>AD28</f>
        <v/>
      </c>
      <c r="K29" s="15">
        <f>AE28</f>
        <v/>
      </c>
      <c r="L29" s="15">
        <f>AF28</f>
        <v/>
      </c>
      <c r="M29" s="15">
        <f>AG28</f>
        <v/>
      </c>
      <c r="N29" s="16">
        <f>E29+F29*C29+G29*D29</f>
        <v/>
      </c>
      <c r="O29" s="16">
        <f>H29+I29*C29+J29*D29</f>
        <v/>
      </c>
      <c r="P29" s="20">
        <f>1/(1+EXP(-N29))</f>
        <v/>
      </c>
      <c r="Q29" s="20">
        <f>1/(1+EXP(-O29))</f>
        <v/>
      </c>
      <c r="R29" s="16">
        <f>K29+L29*P29+M29*Q29</f>
        <v/>
      </c>
      <c r="S29" s="21">
        <f>1/(1+EXP(-R29))</f>
        <v/>
      </c>
      <c r="T29" s="14">
        <f>INDEX($D$6:$D$9,2)</f>
        <v/>
      </c>
      <c r="U29" s="22">
        <f>(T29-S29)^2</f>
        <v/>
      </c>
      <c r="V29" s="22">
        <f>S29*(1-S29)*(T29-S29)</f>
        <v/>
      </c>
      <c r="W29" s="22">
        <f>P29*(1-P29)*L29*V29</f>
        <v/>
      </c>
      <c r="X29" s="22">
        <f>Q29*(1-Q29)*M29*V29</f>
        <v/>
      </c>
      <c r="Y29" s="15">
        <f>E29+$J$14*1*W29</f>
        <v/>
      </c>
      <c r="Z29" s="15">
        <f>F29+$J$14*C29*W29</f>
        <v/>
      </c>
      <c r="AA29" s="15">
        <f>G29+$J$14*D29*W29</f>
        <v/>
      </c>
      <c r="AB29" s="15">
        <f>H29+$J$14*1*X29</f>
        <v/>
      </c>
      <c r="AC29" s="15">
        <f>I29+$J$14*C29*X29</f>
        <v/>
      </c>
      <c r="AD29" s="15">
        <f>J29+$J$14*D29*X29</f>
        <v/>
      </c>
      <c r="AE29" s="15">
        <f>K29+$J$14*1*V29</f>
        <v/>
      </c>
      <c r="AF29" s="15">
        <f>L29+$J$14*P29*V29</f>
        <v/>
      </c>
      <c r="AG29" s="15">
        <f>M29+$J$14*Q29*V29</f>
        <v/>
      </c>
    </row>
    <row r="30">
      <c r="B30" s="14" t="n">
        <v>7</v>
      </c>
      <c r="C30" s="11" t="n">
        <v>1</v>
      </c>
      <c r="D30" s="11" t="n">
        <v>0</v>
      </c>
      <c r="E30" s="15">
        <f>Y29</f>
        <v/>
      </c>
      <c r="F30" s="15">
        <f>Z29</f>
        <v/>
      </c>
      <c r="G30" s="15">
        <f>AA29</f>
        <v/>
      </c>
      <c r="H30" s="15">
        <f>AB29</f>
        <v/>
      </c>
      <c r="I30" s="15">
        <f>AC29</f>
        <v/>
      </c>
      <c r="J30" s="15">
        <f>AD29</f>
        <v/>
      </c>
      <c r="K30" s="15">
        <f>AE29</f>
        <v/>
      </c>
      <c r="L30" s="15">
        <f>AF29</f>
        <v/>
      </c>
      <c r="M30" s="15">
        <f>AG29</f>
        <v/>
      </c>
      <c r="N30" s="16">
        <f>E30+F30*C30+G30*D30</f>
        <v/>
      </c>
      <c r="O30" s="16">
        <f>H30+I30*C30+J30*D30</f>
        <v/>
      </c>
      <c r="P30" s="20">
        <f>1/(1+EXP(-N30))</f>
        <v/>
      </c>
      <c r="Q30" s="20">
        <f>1/(1+EXP(-O30))</f>
        <v/>
      </c>
      <c r="R30" s="16">
        <f>K30+L30*P30+M30*Q30</f>
        <v/>
      </c>
      <c r="S30" s="21">
        <f>1/(1+EXP(-R30))</f>
        <v/>
      </c>
      <c r="T30" s="14">
        <f>INDEX($D$6:$D$9,3)</f>
        <v/>
      </c>
      <c r="U30" s="22">
        <f>(T30-S30)^2</f>
        <v/>
      </c>
      <c r="V30" s="22">
        <f>S30*(1-S30)*(T30-S30)</f>
        <v/>
      </c>
      <c r="W30" s="22">
        <f>P30*(1-P30)*L30*V30</f>
        <v/>
      </c>
      <c r="X30" s="22">
        <f>Q30*(1-Q30)*M30*V30</f>
        <v/>
      </c>
      <c r="Y30" s="15">
        <f>E30+$J$14*1*W30</f>
        <v/>
      </c>
      <c r="Z30" s="15">
        <f>F30+$J$14*C30*W30</f>
        <v/>
      </c>
      <c r="AA30" s="15">
        <f>G30+$J$14*D30*W30</f>
        <v/>
      </c>
      <c r="AB30" s="15">
        <f>H30+$J$14*1*X30</f>
        <v/>
      </c>
      <c r="AC30" s="15">
        <f>I30+$J$14*C30*X30</f>
        <v/>
      </c>
      <c r="AD30" s="15">
        <f>J30+$J$14*D30*X30</f>
        <v/>
      </c>
      <c r="AE30" s="15">
        <f>K30+$J$14*1*V30</f>
        <v/>
      </c>
      <c r="AF30" s="15">
        <f>L30+$J$14*P30*V30</f>
        <v/>
      </c>
      <c r="AG30" s="15">
        <f>M30+$J$14*Q30*V30</f>
        <v/>
      </c>
    </row>
    <row r="31">
      <c r="B31" s="14" t="n">
        <v>8</v>
      </c>
      <c r="C31" s="11" t="n">
        <v>1</v>
      </c>
      <c r="D31" s="11" t="n">
        <v>1</v>
      </c>
      <c r="E31" s="15">
        <f>Y30</f>
        <v/>
      </c>
      <c r="F31" s="15">
        <f>Z30</f>
        <v/>
      </c>
      <c r="G31" s="15">
        <f>AA30</f>
        <v/>
      </c>
      <c r="H31" s="15">
        <f>AB30</f>
        <v/>
      </c>
      <c r="I31" s="15">
        <f>AC30</f>
        <v/>
      </c>
      <c r="J31" s="15">
        <f>AD30</f>
        <v/>
      </c>
      <c r="K31" s="15">
        <f>AE30</f>
        <v/>
      </c>
      <c r="L31" s="15">
        <f>AF30</f>
        <v/>
      </c>
      <c r="M31" s="15">
        <f>AG30</f>
        <v/>
      </c>
      <c r="N31" s="16">
        <f>E31+F31*C31+G31*D31</f>
        <v/>
      </c>
      <c r="O31" s="16">
        <f>H31+I31*C31+J31*D31</f>
        <v/>
      </c>
      <c r="P31" s="20">
        <f>1/(1+EXP(-N31))</f>
        <v/>
      </c>
      <c r="Q31" s="20">
        <f>1/(1+EXP(-O31))</f>
        <v/>
      </c>
      <c r="R31" s="16">
        <f>K31+L31*P31+M31*Q31</f>
        <v/>
      </c>
      <c r="S31" s="21">
        <f>1/(1+EXP(-R31))</f>
        <v/>
      </c>
      <c r="T31" s="14">
        <f>INDEX($D$6:$D$9,4)</f>
        <v/>
      </c>
      <c r="U31" s="22">
        <f>(T31-S31)^2</f>
        <v/>
      </c>
      <c r="V31" s="22">
        <f>S31*(1-S31)*(T31-S31)</f>
        <v/>
      </c>
      <c r="W31" s="22">
        <f>P31*(1-P31)*L31*V31</f>
        <v/>
      </c>
      <c r="X31" s="22">
        <f>Q31*(1-Q31)*M31*V31</f>
        <v/>
      </c>
      <c r="Y31" s="15">
        <f>E31+$J$14*1*W31</f>
        <v/>
      </c>
      <c r="Z31" s="15">
        <f>F31+$J$14*C31*W31</f>
        <v/>
      </c>
      <c r="AA31" s="15">
        <f>G31+$J$14*D31*W31</f>
        <v/>
      </c>
      <c r="AB31" s="15">
        <f>H31+$J$14*1*X31</f>
        <v/>
      </c>
      <c r="AC31" s="15">
        <f>I31+$J$14*C31*X31</f>
        <v/>
      </c>
      <c r="AD31" s="15">
        <f>J31+$J$14*D31*X31</f>
        <v/>
      </c>
      <c r="AE31" s="15">
        <f>K31+$J$14*1*V31</f>
        <v/>
      </c>
      <c r="AF31" s="15">
        <f>L31+$J$14*P31*V31</f>
        <v/>
      </c>
      <c r="AG31" s="15">
        <f>M31+$J$14*Q31*V31</f>
        <v/>
      </c>
    </row>
    <row r="32">
      <c r="B32" s="2" t="inlineStr">
        <is>
          <t>MSE EPOCH 2   = rata-rata SE dari 4 pola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5" t="n"/>
      <c r="U32" s="23">
        <f>AVERAGE(U28:U31)</f>
        <v/>
      </c>
    </row>
    <row r="34">
      <c r="B34" s="8" t="inlineStr">
        <is>
          <t>EPOCH 3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5" t="n"/>
    </row>
    <row r="35">
      <c r="B35" s="9" t="inlineStr">
        <is>
          <t>STEP</t>
        </is>
      </c>
      <c r="C35" s="9" t="inlineStr">
        <is>
          <t>I1</t>
        </is>
      </c>
      <c r="D35" s="9" t="inlineStr">
        <is>
          <t>I2</t>
        </is>
      </c>
      <c r="E35" s="9" t="inlineStr">
        <is>
          <t>wi(0,1)</t>
        </is>
      </c>
      <c r="F35" s="9" t="inlineStr">
        <is>
          <t>wi(1,1)</t>
        </is>
      </c>
      <c r="G35" s="9" t="inlineStr">
        <is>
          <t>wi(2,1)</t>
        </is>
      </c>
      <c r="H35" s="9" t="inlineStr">
        <is>
          <t>wi(0,2)</t>
        </is>
      </c>
      <c r="I35" s="9" t="inlineStr">
        <is>
          <t>wi(1,2)</t>
        </is>
      </c>
      <c r="J35" s="9" t="inlineStr">
        <is>
          <t>wi(2,2)</t>
        </is>
      </c>
      <c r="K35" s="9" t="inlineStr">
        <is>
          <t>wh0</t>
        </is>
      </c>
      <c r="L35" s="9" t="inlineStr">
        <is>
          <t>wh1</t>
        </is>
      </c>
      <c r="M35" s="9" t="inlineStr">
        <is>
          <t>wh2</t>
        </is>
      </c>
      <c r="N35" s="9" t="inlineStr">
        <is>
          <t>SI1</t>
        </is>
      </c>
      <c r="O35" s="9" t="inlineStr">
        <is>
          <t>SI2</t>
        </is>
      </c>
      <c r="P35" s="9" t="inlineStr">
        <is>
          <t>H1</t>
        </is>
      </c>
      <c r="Q35" s="9" t="inlineStr">
        <is>
          <t>H2</t>
        </is>
      </c>
      <c r="R35" s="9" t="inlineStr">
        <is>
          <t>SH</t>
        </is>
      </c>
      <c r="S35" s="9" t="inlineStr">
        <is>
          <t>C</t>
        </is>
      </c>
      <c r="T35" s="9" t="inlineStr">
        <is>
          <t>TARGET</t>
        </is>
      </c>
      <c r="U35" s="9" t="inlineStr">
        <is>
          <t>SE</t>
        </is>
      </c>
      <c r="V35" s="9" t="inlineStr">
        <is>
          <t>dC</t>
        </is>
      </c>
      <c r="W35" s="9" t="inlineStr">
        <is>
          <t>dH1</t>
        </is>
      </c>
      <c r="X35" s="9" t="inlineStr">
        <is>
          <t>dH2</t>
        </is>
      </c>
      <c r="Y35" s="9" t="inlineStr">
        <is>
          <t>wi(0,1) BARU</t>
        </is>
      </c>
      <c r="Z35" s="9" t="inlineStr">
        <is>
          <t>wi(1,1) BARU</t>
        </is>
      </c>
      <c r="AA35" s="9" t="inlineStr">
        <is>
          <t>wi(2,1) BARU</t>
        </is>
      </c>
      <c r="AB35" s="9" t="inlineStr">
        <is>
          <t>wi(0,2) BARU</t>
        </is>
      </c>
      <c r="AC35" s="9" t="inlineStr">
        <is>
          <t>wi(1,2) BARU</t>
        </is>
      </c>
      <c r="AD35" s="9" t="inlineStr">
        <is>
          <t>wi(2,2) BARU</t>
        </is>
      </c>
      <c r="AE35" s="9" t="inlineStr">
        <is>
          <t>wh0 BARU</t>
        </is>
      </c>
      <c r="AF35" s="9" t="inlineStr">
        <is>
          <t>wh1 BARU</t>
        </is>
      </c>
      <c r="AG35" s="9" t="inlineStr">
        <is>
          <t>wh2 BARU</t>
        </is>
      </c>
    </row>
    <row r="36">
      <c r="B36" s="14" t="n">
        <v>9</v>
      </c>
      <c r="C36" s="11" t="n">
        <v>0</v>
      </c>
      <c r="D36" s="11" t="n">
        <v>0</v>
      </c>
      <c r="E36" s="15">
        <f>Y31</f>
        <v/>
      </c>
      <c r="F36" s="15">
        <f>Z31</f>
        <v/>
      </c>
      <c r="G36" s="15">
        <f>AA31</f>
        <v/>
      </c>
      <c r="H36" s="15">
        <f>AB31</f>
        <v/>
      </c>
      <c r="I36" s="15">
        <f>AC31</f>
        <v/>
      </c>
      <c r="J36" s="15">
        <f>AD31</f>
        <v/>
      </c>
      <c r="K36" s="15">
        <f>AE31</f>
        <v/>
      </c>
      <c r="L36" s="15">
        <f>AF31</f>
        <v/>
      </c>
      <c r="M36" s="15">
        <f>AG31</f>
        <v/>
      </c>
      <c r="N36" s="16">
        <f>E36+F36*C36+G36*D36</f>
        <v/>
      </c>
      <c r="O36" s="16">
        <f>H36+I36*C36+J36*D36</f>
        <v/>
      </c>
      <c r="P36" s="20">
        <f>1/(1+EXP(-N36))</f>
        <v/>
      </c>
      <c r="Q36" s="20">
        <f>1/(1+EXP(-O36))</f>
        <v/>
      </c>
      <c r="R36" s="16">
        <f>K36+L36*P36+M36*Q36</f>
        <v/>
      </c>
      <c r="S36" s="21">
        <f>1/(1+EXP(-R36))</f>
        <v/>
      </c>
      <c r="T36" s="14">
        <f>INDEX($D$6:$D$9,1)</f>
        <v/>
      </c>
      <c r="U36" s="22">
        <f>(T36-S36)^2</f>
        <v/>
      </c>
      <c r="V36" s="22">
        <f>S36*(1-S36)*(T36-S36)</f>
        <v/>
      </c>
      <c r="W36" s="22">
        <f>P36*(1-P36)*L36*V36</f>
        <v/>
      </c>
      <c r="X36" s="22">
        <f>Q36*(1-Q36)*M36*V36</f>
        <v/>
      </c>
      <c r="Y36" s="15">
        <f>E36+$J$14*1*W36</f>
        <v/>
      </c>
      <c r="Z36" s="15">
        <f>F36+$J$14*C36*W36</f>
        <v/>
      </c>
      <c r="AA36" s="15">
        <f>G36+$J$14*D36*W36</f>
        <v/>
      </c>
      <c r="AB36" s="15">
        <f>H36+$J$14*1*X36</f>
        <v/>
      </c>
      <c r="AC36" s="15">
        <f>I36+$J$14*C36*X36</f>
        <v/>
      </c>
      <c r="AD36" s="15">
        <f>J36+$J$14*D36*X36</f>
        <v/>
      </c>
      <c r="AE36" s="15">
        <f>K36+$J$14*1*V36</f>
        <v/>
      </c>
      <c r="AF36" s="15">
        <f>L36+$J$14*P36*V36</f>
        <v/>
      </c>
      <c r="AG36" s="15">
        <f>M36+$J$14*Q36*V36</f>
        <v/>
      </c>
    </row>
    <row r="37">
      <c r="B37" s="14" t="n">
        <v>10</v>
      </c>
      <c r="C37" s="11" t="n">
        <v>0</v>
      </c>
      <c r="D37" s="11" t="n">
        <v>1</v>
      </c>
      <c r="E37" s="15">
        <f>Y36</f>
        <v/>
      </c>
      <c r="F37" s="15">
        <f>Z36</f>
        <v/>
      </c>
      <c r="G37" s="15">
        <f>AA36</f>
        <v/>
      </c>
      <c r="H37" s="15">
        <f>AB36</f>
        <v/>
      </c>
      <c r="I37" s="15">
        <f>AC36</f>
        <v/>
      </c>
      <c r="J37" s="15">
        <f>AD36</f>
        <v/>
      </c>
      <c r="K37" s="15">
        <f>AE36</f>
        <v/>
      </c>
      <c r="L37" s="15">
        <f>AF36</f>
        <v/>
      </c>
      <c r="M37" s="15">
        <f>AG36</f>
        <v/>
      </c>
      <c r="N37" s="16">
        <f>E37+F37*C37+G37*D37</f>
        <v/>
      </c>
      <c r="O37" s="16">
        <f>H37+I37*C37+J37*D37</f>
        <v/>
      </c>
      <c r="P37" s="20">
        <f>1/(1+EXP(-N37))</f>
        <v/>
      </c>
      <c r="Q37" s="20">
        <f>1/(1+EXP(-O37))</f>
        <v/>
      </c>
      <c r="R37" s="16">
        <f>K37+L37*P37+M37*Q37</f>
        <v/>
      </c>
      <c r="S37" s="21">
        <f>1/(1+EXP(-R37))</f>
        <v/>
      </c>
      <c r="T37" s="14">
        <f>INDEX($D$6:$D$9,2)</f>
        <v/>
      </c>
      <c r="U37" s="22">
        <f>(T37-S37)^2</f>
        <v/>
      </c>
      <c r="V37" s="22">
        <f>S37*(1-S37)*(T37-S37)</f>
        <v/>
      </c>
      <c r="W37" s="22">
        <f>P37*(1-P37)*L37*V37</f>
        <v/>
      </c>
      <c r="X37" s="22">
        <f>Q37*(1-Q37)*M37*V37</f>
        <v/>
      </c>
      <c r="Y37" s="15">
        <f>E37+$J$14*1*W37</f>
        <v/>
      </c>
      <c r="Z37" s="15">
        <f>F37+$J$14*C37*W37</f>
        <v/>
      </c>
      <c r="AA37" s="15">
        <f>G37+$J$14*D37*W37</f>
        <v/>
      </c>
      <c r="AB37" s="15">
        <f>H37+$J$14*1*X37</f>
        <v/>
      </c>
      <c r="AC37" s="15">
        <f>I37+$J$14*C37*X37</f>
        <v/>
      </c>
      <c r="AD37" s="15">
        <f>J37+$J$14*D37*X37</f>
        <v/>
      </c>
      <c r="AE37" s="15">
        <f>K37+$J$14*1*V37</f>
        <v/>
      </c>
      <c r="AF37" s="15">
        <f>L37+$J$14*P37*V37</f>
        <v/>
      </c>
      <c r="AG37" s="15">
        <f>M37+$J$14*Q37*V37</f>
        <v/>
      </c>
    </row>
    <row r="38">
      <c r="B38" s="14" t="n">
        <v>11</v>
      </c>
      <c r="C38" s="11" t="n">
        <v>1</v>
      </c>
      <c r="D38" s="11" t="n">
        <v>0</v>
      </c>
      <c r="E38" s="15">
        <f>Y37</f>
        <v/>
      </c>
      <c r="F38" s="15">
        <f>Z37</f>
        <v/>
      </c>
      <c r="G38" s="15">
        <f>AA37</f>
        <v/>
      </c>
      <c r="H38" s="15">
        <f>AB37</f>
        <v/>
      </c>
      <c r="I38" s="15">
        <f>AC37</f>
        <v/>
      </c>
      <c r="J38" s="15">
        <f>AD37</f>
        <v/>
      </c>
      <c r="K38" s="15">
        <f>AE37</f>
        <v/>
      </c>
      <c r="L38" s="15">
        <f>AF37</f>
        <v/>
      </c>
      <c r="M38" s="15">
        <f>AG37</f>
        <v/>
      </c>
      <c r="N38" s="16">
        <f>E38+F38*C38+G38*D38</f>
        <v/>
      </c>
      <c r="O38" s="16">
        <f>H38+I38*C38+J38*D38</f>
        <v/>
      </c>
      <c r="P38" s="20">
        <f>1/(1+EXP(-N38))</f>
        <v/>
      </c>
      <c r="Q38" s="20">
        <f>1/(1+EXP(-O38))</f>
        <v/>
      </c>
      <c r="R38" s="16">
        <f>K38+L38*P38+M38*Q38</f>
        <v/>
      </c>
      <c r="S38" s="21">
        <f>1/(1+EXP(-R38))</f>
        <v/>
      </c>
      <c r="T38" s="14">
        <f>INDEX($D$6:$D$9,3)</f>
        <v/>
      </c>
      <c r="U38" s="22">
        <f>(T38-S38)^2</f>
        <v/>
      </c>
      <c r="V38" s="22">
        <f>S38*(1-S38)*(T38-S38)</f>
        <v/>
      </c>
      <c r="W38" s="22">
        <f>P38*(1-P38)*L38*V38</f>
        <v/>
      </c>
      <c r="X38" s="22">
        <f>Q38*(1-Q38)*M38*V38</f>
        <v/>
      </c>
      <c r="Y38" s="15">
        <f>E38+$J$14*1*W38</f>
        <v/>
      </c>
      <c r="Z38" s="15">
        <f>F38+$J$14*C38*W38</f>
        <v/>
      </c>
      <c r="AA38" s="15">
        <f>G38+$J$14*D38*W38</f>
        <v/>
      </c>
      <c r="AB38" s="15">
        <f>H38+$J$14*1*X38</f>
        <v/>
      </c>
      <c r="AC38" s="15">
        <f>I38+$J$14*C38*X38</f>
        <v/>
      </c>
      <c r="AD38" s="15">
        <f>J38+$J$14*D38*X38</f>
        <v/>
      </c>
      <c r="AE38" s="15">
        <f>K38+$J$14*1*V38</f>
        <v/>
      </c>
      <c r="AF38" s="15">
        <f>L38+$J$14*P38*V38</f>
        <v/>
      </c>
      <c r="AG38" s="15">
        <f>M38+$J$14*Q38*V38</f>
        <v/>
      </c>
    </row>
    <row r="39">
      <c r="B39" s="14" t="n">
        <v>12</v>
      </c>
      <c r="C39" s="11" t="n">
        <v>1</v>
      </c>
      <c r="D39" s="11" t="n">
        <v>1</v>
      </c>
      <c r="E39" s="15">
        <f>Y38</f>
        <v/>
      </c>
      <c r="F39" s="15">
        <f>Z38</f>
        <v/>
      </c>
      <c r="G39" s="15">
        <f>AA38</f>
        <v/>
      </c>
      <c r="H39" s="15">
        <f>AB38</f>
        <v/>
      </c>
      <c r="I39" s="15">
        <f>AC38</f>
        <v/>
      </c>
      <c r="J39" s="15">
        <f>AD38</f>
        <v/>
      </c>
      <c r="K39" s="15">
        <f>AE38</f>
        <v/>
      </c>
      <c r="L39" s="15">
        <f>AF38</f>
        <v/>
      </c>
      <c r="M39" s="15">
        <f>AG38</f>
        <v/>
      </c>
      <c r="N39" s="16">
        <f>E39+F39*C39+G39*D39</f>
        <v/>
      </c>
      <c r="O39" s="16">
        <f>H39+I39*C39+J39*D39</f>
        <v/>
      </c>
      <c r="P39" s="20">
        <f>1/(1+EXP(-N39))</f>
        <v/>
      </c>
      <c r="Q39" s="20">
        <f>1/(1+EXP(-O39))</f>
        <v/>
      </c>
      <c r="R39" s="16">
        <f>K39+L39*P39+M39*Q39</f>
        <v/>
      </c>
      <c r="S39" s="21">
        <f>1/(1+EXP(-R39))</f>
        <v/>
      </c>
      <c r="T39" s="14">
        <f>INDEX($D$6:$D$9,4)</f>
        <v/>
      </c>
      <c r="U39" s="22">
        <f>(T39-S39)^2</f>
        <v/>
      </c>
      <c r="V39" s="22">
        <f>S39*(1-S39)*(T39-S39)</f>
        <v/>
      </c>
      <c r="W39" s="22">
        <f>P39*(1-P39)*L39*V39</f>
        <v/>
      </c>
      <c r="X39" s="22">
        <f>Q39*(1-Q39)*M39*V39</f>
        <v/>
      </c>
      <c r="Y39" s="15">
        <f>E39+$J$14*1*W39</f>
        <v/>
      </c>
      <c r="Z39" s="15">
        <f>F39+$J$14*C39*W39</f>
        <v/>
      </c>
      <c r="AA39" s="15">
        <f>G39+$J$14*D39*W39</f>
        <v/>
      </c>
      <c r="AB39" s="15">
        <f>H39+$J$14*1*X39</f>
        <v/>
      </c>
      <c r="AC39" s="15">
        <f>I39+$J$14*C39*X39</f>
        <v/>
      </c>
      <c r="AD39" s="15">
        <f>J39+$J$14*D39*X39</f>
        <v/>
      </c>
      <c r="AE39" s="15">
        <f>K39+$J$14*1*V39</f>
        <v/>
      </c>
      <c r="AF39" s="15">
        <f>L39+$J$14*P39*V39</f>
        <v/>
      </c>
      <c r="AG39" s="15">
        <f>M39+$J$14*Q39*V39</f>
        <v/>
      </c>
    </row>
    <row r="40">
      <c r="B40" s="2" t="inlineStr">
        <is>
          <t>MSE EPOCH 3   = rata-rata SE dari 4 pola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5" t="n"/>
      <c r="U40" s="23">
        <f>AVERAGE(U36:U39)</f>
        <v/>
      </c>
    </row>
    <row r="42">
      <c r="B42" s="8" t="inlineStr">
        <is>
          <t>EPOCH 4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5" t="n"/>
    </row>
    <row r="43">
      <c r="B43" s="9" t="inlineStr">
        <is>
          <t>STEP</t>
        </is>
      </c>
      <c r="C43" s="9" t="inlineStr">
        <is>
          <t>I1</t>
        </is>
      </c>
      <c r="D43" s="9" t="inlineStr">
        <is>
          <t>I2</t>
        </is>
      </c>
      <c r="E43" s="9" t="inlineStr">
        <is>
          <t>wi(0,1)</t>
        </is>
      </c>
      <c r="F43" s="9" t="inlineStr">
        <is>
          <t>wi(1,1)</t>
        </is>
      </c>
      <c r="G43" s="9" t="inlineStr">
        <is>
          <t>wi(2,1)</t>
        </is>
      </c>
      <c r="H43" s="9" t="inlineStr">
        <is>
          <t>wi(0,2)</t>
        </is>
      </c>
      <c r="I43" s="9" t="inlineStr">
        <is>
          <t>wi(1,2)</t>
        </is>
      </c>
      <c r="J43" s="9" t="inlineStr">
        <is>
          <t>wi(2,2)</t>
        </is>
      </c>
      <c r="K43" s="9" t="inlineStr">
        <is>
          <t>wh0</t>
        </is>
      </c>
      <c r="L43" s="9" t="inlineStr">
        <is>
          <t>wh1</t>
        </is>
      </c>
      <c r="M43" s="9" t="inlineStr">
        <is>
          <t>wh2</t>
        </is>
      </c>
      <c r="N43" s="9" t="inlineStr">
        <is>
          <t>SI1</t>
        </is>
      </c>
      <c r="O43" s="9" t="inlineStr">
        <is>
          <t>SI2</t>
        </is>
      </c>
      <c r="P43" s="9" t="inlineStr">
        <is>
          <t>H1</t>
        </is>
      </c>
      <c r="Q43" s="9" t="inlineStr">
        <is>
          <t>H2</t>
        </is>
      </c>
      <c r="R43" s="9" t="inlineStr">
        <is>
          <t>SH</t>
        </is>
      </c>
      <c r="S43" s="9" t="inlineStr">
        <is>
          <t>C</t>
        </is>
      </c>
      <c r="T43" s="9" t="inlineStr">
        <is>
          <t>TARGET</t>
        </is>
      </c>
      <c r="U43" s="9" t="inlineStr">
        <is>
          <t>SE</t>
        </is>
      </c>
      <c r="V43" s="9" t="inlineStr">
        <is>
          <t>dC</t>
        </is>
      </c>
      <c r="W43" s="9" t="inlineStr">
        <is>
          <t>dH1</t>
        </is>
      </c>
      <c r="X43" s="9" t="inlineStr">
        <is>
          <t>dH2</t>
        </is>
      </c>
      <c r="Y43" s="9" t="inlineStr">
        <is>
          <t>wi(0,1) BARU</t>
        </is>
      </c>
      <c r="Z43" s="9" t="inlineStr">
        <is>
          <t>wi(1,1) BARU</t>
        </is>
      </c>
      <c r="AA43" s="9" t="inlineStr">
        <is>
          <t>wi(2,1) BARU</t>
        </is>
      </c>
      <c r="AB43" s="9" t="inlineStr">
        <is>
          <t>wi(0,2) BARU</t>
        </is>
      </c>
      <c r="AC43" s="9" t="inlineStr">
        <is>
          <t>wi(1,2) BARU</t>
        </is>
      </c>
      <c r="AD43" s="9" t="inlineStr">
        <is>
          <t>wi(2,2) BARU</t>
        </is>
      </c>
      <c r="AE43" s="9" t="inlineStr">
        <is>
          <t>wh0 BARU</t>
        </is>
      </c>
      <c r="AF43" s="9" t="inlineStr">
        <is>
          <t>wh1 BARU</t>
        </is>
      </c>
      <c r="AG43" s="9" t="inlineStr">
        <is>
          <t>wh2 BARU</t>
        </is>
      </c>
    </row>
    <row r="44">
      <c r="B44" s="14" t="n">
        <v>13</v>
      </c>
      <c r="C44" s="11" t="n">
        <v>0</v>
      </c>
      <c r="D44" s="11" t="n">
        <v>0</v>
      </c>
      <c r="E44" s="15">
        <f>Y39</f>
        <v/>
      </c>
      <c r="F44" s="15">
        <f>Z39</f>
        <v/>
      </c>
      <c r="G44" s="15">
        <f>AA39</f>
        <v/>
      </c>
      <c r="H44" s="15">
        <f>AB39</f>
        <v/>
      </c>
      <c r="I44" s="15">
        <f>AC39</f>
        <v/>
      </c>
      <c r="J44" s="15">
        <f>AD39</f>
        <v/>
      </c>
      <c r="K44" s="15">
        <f>AE39</f>
        <v/>
      </c>
      <c r="L44" s="15">
        <f>AF39</f>
        <v/>
      </c>
      <c r="M44" s="15">
        <f>AG39</f>
        <v/>
      </c>
      <c r="N44" s="16">
        <f>E44+F44*C44+G44*D44</f>
        <v/>
      </c>
      <c r="O44" s="16">
        <f>H44+I44*C44+J44*D44</f>
        <v/>
      </c>
      <c r="P44" s="20">
        <f>1/(1+EXP(-N44))</f>
        <v/>
      </c>
      <c r="Q44" s="20">
        <f>1/(1+EXP(-O44))</f>
        <v/>
      </c>
      <c r="R44" s="16">
        <f>K44+L44*P44+M44*Q44</f>
        <v/>
      </c>
      <c r="S44" s="21">
        <f>1/(1+EXP(-R44))</f>
        <v/>
      </c>
      <c r="T44" s="14">
        <f>INDEX($D$6:$D$9,1)</f>
        <v/>
      </c>
      <c r="U44" s="22">
        <f>(T44-S44)^2</f>
        <v/>
      </c>
      <c r="V44" s="22">
        <f>S44*(1-S44)*(T44-S44)</f>
        <v/>
      </c>
      <c r="W44" s="22">
        <f>P44*(1-P44)*L44*V44</f>
        <v/>
      </c>
      <c r="X44" s="22">
        <f>Q44*(1-Q44)*M44*V44</f>
        <v/>
      </c>
      <c r="Y44" s="15">
        <f>E44+$J$14*1*W44</f>
        <v/>
      </c>
      <c r="Z44" s="15">
        <f>F44+$J$14*C44*W44</f>
        <v/>
      </c>
      <c r="AA44" s="15">
        <f>G44+$J$14*D44*W44</f>
        <v/>
      </c>
      <c r="AB44" s="15">
        <f>H44+$J$14*1*X44</f>
        <v/>
      </c>
      <c r="AC44" s="15">
        <f>I44+$J$14*C44*X44</f>
        <v/>
      </c>
      <c r="AD44" s="15">
        <f>J44+$J$14*D44*X44</f>
        <v/>
      </c>
      <c r="AE44" s="15">
        <f>K44+$J$14*1*V44</f>
        <v/>
      </c>
      <c r="AF44" s="15">
        <f>L44+$J$14*P44*V44</f>
        <v/>
      </c>
      <c r="AG44" s="15">
        <f>M44+$J$14*Q44*V44</f>
        <v/>
      </c>
    </row>
    <row r="45">
      <c r="B45" s="14" t="n">
        <v>14</v>
      </c>
      <c r="C45" s="11" t="n">
        <v>0</v>
      </c>
      <c r="D45" s="11" t="n">
        <v>1</v>
      </c>
      <c r="E45" s="15">
        <f>Y44</f>
        <v/>
      </c>
      <c r="F45" s="15">
        <f>Z44</f>
        <v/>
      </c>
      <c r="G45" s="15">
        <f>AA44</f>
        <v/>
      </c>
      <c r="H45" s="15">
        <f>AB44</f>
        <v/>
      </c>
      <c r="I45" s="15">
        <f>AC44</f>
        <v/>
      </c>
      <c r="J45" s="15">
        <f>AD44</f>
        <v/>
      </c>
      <c r="K45" s="15">
        <f>AE44</f>
        <v/>
      </c>
      <c r="L45" s="15">
        <f>AF44</f>
        <v/>
      </c>
      <c r="M45" s="15">
        <f>AG44</f>
        <v/>
      </c>
      <c r="N45" s="16">
        <f>E45+F45*C45+G45*D45</f>
        <v/>
      </c>
      <c r="O45" s="16">
        <f>H45+I45*C45+J45*D45</f>
        <v/>
      </c>
      <c r="P45" s="20">
        <f>1/(1+EXP(-N45))</f>
        <v/>
      </c>
      <c r="Q45" s="20">
        <f>1/(1+EXP(-O45))</f>
        <v/>
      </c>
      <c r="R45" s="16">
        <f>K45+L45*P45+M45*Q45</f>
        <v/>
      </c>
      <c r="S45" s="21">
        <f>1/(1+EXP(-R45))</f>
        <v/>
      </c>
      <c r="T45" s="14">
        <f>INDEX($D$6:$D$9,2)</f>
        <v/>
      </c>
      <c r="U45" s="22">
        <f>(T45-S45)^2</f>
        <v/>
      </c>
      <c r="V45" s="22">
        <f>S45*(1-S45)*(T45-S45)</f>
        <v/>
      </c>
      <c r="W45" s="22">
        <f>P45*(1-P45)*L45*V45</f>
        <v/>
      </c>
      <c r="X45" s="22">
        <f>Q45*(1-Q45)*M45*V45</f>
        <v/>
      </c>
      <c r="Y45" s="15">
        <f>E45+$J$14*1*W45</f>
        <v/>
      </c>
      <c r="Z45" s="15">
        <f>F45+$J$14*C45*W45</f>
        <v/>
      </c>
      <c r="AA45" s="15">
        <f>G45+$J$14*D45*W45</f>
        <v/>
      </c>
      <c r="AB45" s="15">
        <f>H45+$J$14*1*X45</f>
        <v/>
      </c>
      <c r="AC45" s="15">
        <f>I45+$J$14*C45*X45</f>
        <v/>
      </c>
      <c r="AD45" s="15">
        <f>J45+$J$14*D45*X45</f>
        <v/>
      </c>
      <c r="AE45" s="15">
        <f>K45+$J$14*1*V45</f>
        <v/>
      </c>
      <c r="AF45" s="15">
        <f>L45+$J$14*P45*V45</f>
        <v/>
      </c>
      <c r="AG45" s="15">
        <f>M45+$J$14*Q45*V45</f>
        <v/>
      </c>
    </row>
    <row r="46">
      <c r="B46" s="14" t="n">
        <v>15</v>
      </c>
      <c r="C46" s="11" t="n">
        <v>1</v>
      </c>
      <c r="D46" s="11" t="n">
        <v>0</v>
      </c>
      <c r="E46" s="15">
        <f>Y45</f>
        <v/>
      </c>
      <c r="F46" s="15">
        <f>Z45</f>
        <v/>
      </c>
      <c r="G46" s="15">
        <f>AA45</f>
        <v/>
      </c>
      <c r="H46" s="15">
        <f>AB45</f>
        <v/>
      </c>
      <c r="I46" s="15">
        <f>AC45</f>
        <v/>
      </c>
      <c r="J46" s="15">
        <f>AD45</f>
        <v/>
      </c>
      <c r="K46" s="15">
        <f>AE45</f>
        <v/>
      </c>
      <c r="L46" s="15">
        <f>AF45</f>
        <v/>
      </c>
      <c r="M46" s="15">
        <f>AG45</f>
        <v/>
      </c>
      <c r="N46" s="16">
        <f>E46+F46*C46+G46*D46</f>
        <v/>
      </c>
      <c r="O46" s="16">
        <f>H46+I46*C46+J46*D46</f>
        <v/>
      </c>
      <c r="P46" s="20">
        <f>1/(1+EXP(-N46))</f>
        <v/>
      </c>
      <c r="Q46" s="20">
        <f>1/(1+EXP(-O46))</f>
        <v/>
      </c>
      <c r="R46" s="16">
        <f>K46+L46*P46+M46*Q46</f>
        <v/>
      </c>
      <c r="S46" s="21">
        <f>1/(1+EXP(-R46))</f>
        <v/>
      </c>
      <c r="T46" s="14">
        <f>INDEX($D$6:$D$9,3)</f>
        <v/>
      </c>
      <c r="U46" s="22">
        <f>(T46-S46)^2</f>
        <v/>
      </c>
      <c r="V46" s="22">
        <f>S46*(1-S46)*(T46-S46)</f>
        <v/>
      </c>
      <c r="W46" s="22">
        <f>P46*(1-P46)*L46*V46</f>
        <v/>
      </c>
      <c r="X46" s="22">
        <f>Q46*(1-Q46)*M46*V46</f>
        <v/>
      </c>
      <c r="Y46" s="15">
        <f>E46+$J$14*1*W46</f>
        <v/>
      </c>
      <c r="Z46" s="15">
        <f>F46+$J$14*C46*W46</f>
        <v/>
      </c>
      <c r="AA46" s="15">
        <f>G46+$J$14*D46*W46</f>
        <v/>
      </c>
      <c r="AB46" s="15">
        <f>H46+$J$14*1*X46</f>
        <v/>
      </c>
      <c r="AC46" s="15">
        <f>I46+$J$14*C46*X46</f>
        <v/>
      </c>
      <c r="AD46" s="15">
        <f>J46+$J$14*D46*X46</f>
        <v/>
      </c>
      <c r="AE46" s="15">
        <f>K46+$J$14*1*V46</f>
        <v/>
      </c>
      <c r="AF46" s="15">
        <f>L46+$J$14*P46*V46</f>
        <v/>
      </c>
      <c r="AG46" s="15">
        <f>M46+$J$14*Q46*V46</f>
        <v/>
      </c>
    </row>
    <row r="47">
      <c r="B47" s="14" t="n">
        <v>16</v>
      </c>
      <c r="C47" s="11" t="n">
        <v>1</v>
      </c>
      <c r="D47" s="11" t="n">
        <v>1</v>
      </c>
      <c r="E47" s="15">
        <f>Y46</f>
        <v/>
      </c>
      <c r="F47" s="15">
        <f>Z46</f>
        <v/>
      </c>
      <c r="G47" s="15">
        <f>AA46</f>
        <v/>
      </c>
      <c r="H47" s="15">
        <f>AB46</f>
        <v/>
      </c>
      <c r="I47" s="15">
        <f>AC46</f>
        <v/>
      </c>
      <c r="J47" s="15">
        <f>AD46</f>
        <v/>
      </c>
      <c r="K47" s="15">
        <f>AE46</f>
        <v/>
      </c>
      <c r="L47" s="15">
        <f>AF46</f>
        <v/>
      </c>
      <c r="M47" s="15">
        <f>AG46</f>
        <v/>
      </c>
      <c r="N47" s="16">
        <f>E47+F47*C47+G47*D47</f>
        <v/>
      </c>
      <c r="O47" s="16">
        <f>H47+I47*C47+J47*D47</f>
        <v/>
      </c>
      <c r="P47" s="20">
        <f>1/(1+EXP(-N47))</f>
        <v/>
      </c>
      <c r="Q47" s="20">
        <f>1/(1+EXP(-O47))</f>
        <v/>
      </c>
      <c r="R47" s="16">
        <f>K47+L47*P47+M47*Q47</f>
        <v/>
      </c>
      <c r="S47" s="21">
        <f>1/(1+EXP(-R47))</f>
        <v/>
      </c>
      <c r="T47" s="14">
        <f>INDEX($D$6:$D$9,4)</f>
        <v/>
      </c>
      <c r="U47" s="22">
        <f>(T47-S47)^2</f>
        <v/>
      </c>
      <c r="V47" s="22">
        <f>S47*(1-S47)*(T47-S47)</f>
        <v/>
      </c>
      <c r="W47" s="22">
        <f>P47*(1-P47)*L47*V47</f>
        <v/>
      </c>
      <c r="X47" s="22">
        <f>Q47*(1-Q47)*M47*V47</f>
        <v/>
      </c>
      <c r="Y47" s="15">
        <f>E47+$J$14*1*W47</f>
        <v/>
      </c>
      <c r="Z47" s="15">
        <f>F47+$J$14*C47*W47</f>
        <v/>
      </c>
      <c r="AA47" s="15">
        <f>G47+$J$14*D47*W47</f>
        <v/>
      </c>
      <c r="AB47" s="15">
        <f>H47+$J$14*1*X47</f>
        <v/>
      </c>
      <c r="AC47" s="15">
        <f>I47+$J$14*C47*X47</f>
        <v/>
      </c>
      <c r="AD47" s="15">
        <f>J47+$J$14*D47*X47</f>
        <v/>
      </c>
      <c r="AE47" s="15">
        <f>K47+$J$14*1*V47</f>
        <v/>
      </c>
      <c r="AF47" s="15">
        <f>L47+$J$14*P47*V47</f>
        <v/>
      </c>
      <c r="AG47" s="15">
        <f>M47+$J$14*Q47*V47</f>
        <v/>
      </c>
    </row>
    <row r="48">
      <c r="B48" s="2" t="inlineStr">
        <is>
          <t>MSE EPOCH 4   = rata-rata SE dari 4 pola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5" t="n"/>
      <c r="U48" s="23">
        <f>AVERAGE(U44:U47)</f>
        <v/>
      </c>
    </row>
    <row r="50">
      <c r="B50" s="8" t="inlineStr">
        <is>
          <t>EPOCH 5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5" t="n"/>
    </row>
    <row r="51">
      <c r="B51" s="9" t="inlineStr">
        <is>
          <t>STEP</t>
        </is>
      </c>
      <c r="C51" s="9" t="inlineStr">
        <is>
          <t>I1</t>
        </is>
      </c>
      <c r="D51" s="9" t="inlineStr">
        <is>
          <t>I2</t>
        </is>
      </c>
      <c r="E51" s="9" t="inlineStr">
        <is>
          <t>wi(0,1)</t>
        </is>
      </c>
      <c r="F51" s="9" t="inlineStr">
        <is>
          <t>wi(1,1)</t>
        </is>
      </c>
      <c r="G51" s="9" t="inlineStr">
        <is>
          <t>wi(2,1)</t>
        </is>
      </c>
      <c r="H51" s="9" t="inlineStr">
        <is>
          <t>wi(0,2)</t>
        </is>
      </c>
      <c r="I51" s="9" t="inlineStr">
        <is>
          <t>wi(1,2)</t>
        </is>
      </c>
      <c r="J51" s="9" t="inlineStr">
        <is>
          <t>wi(2,2)</t>
        </is>
      </c>
      <c r="K51" s="9" t="inlineStr">
        <is>
          <t>wh0</t>
        </is>
      </c>
      <c r="L51" s="9" t="inlineStr">
        <is>
          <t>wh1</t>
        </is>
      </c>
      <c r="M51" s="9" t="inlineStr">
        <is>
          <t>wh2</t>
        </is>
      </c>
      <c r="N51" s="9" t="inlineStr">
        <is>
          <t>SI1</t>
        </is>
      </c>
      <c r="O51" s="9" t="inlineStr">
        <is>
          <t>SI2</t>
        </is>
      </c>
      <c r="P51" s="9" t="inlineStr">
        <is>
          <t>H1</t>
        </is>
      </c>
      <c r="Q51" s="9" t="inlineStr">
        <is>
          <t>H2</t>
        </is>
      </c>
      <c r="R51" s="9" t="inlineStr">
        <is>
          <t>SH</t>
        </is>
      </c>
      <c r="S51" s="9" t="inlineStr">
        <is>
          <t>C</t>
        </is>
      </c>
      <c r="T51" s="9" t="inlineStr">
        <is>
          <t>TARGET</t>
        </is>
      </c>
      <c r="U51" s="9" t="inlineStr">
        <is>
          <t>SE</t>
        </is>
      </c>
      <c r="V51" s="9" t="inlineStr">
        <is>
          <t>dC</t>
        </is>
      </c>
      <c r="W51" s="9" t="inlineStr">
        <is>
          <t>dH1</t>
        </is>
      </c>
      <c r="X51" s="9" t="inlineStr">
        <is>
          <t>dH2</t>
        </is>
      </c>
      <c r="Y51" s="9" t="inlineStr">
        <is>
          <t>wi(0,1) BARU</t>
        </is>
      </c>
      <c r="Z51" s="9" t="inlineStr">
        <is>
          <t>wi(1,1) BARU</t>
        </is>
      </c>
      <c r="AA51" s="9" t="inlineStr">
        <is>
          <t>wi(2,1) BARU</t>
        </is>
      </c>
      <c r="AB51" s="9" t="inlineStr">
        <is>
          <t>wi(0,2) BARU</t>
        </is>
      </c>
      <c r="AC51" s="9" t="inlineStr">
        <is>
          <t>wi(1,2) BARU</t>
        </is>
      </c>
      <c r="AD51" s="9" t="inlineStr">
        <is>
          <t>wi(2,2) BARU</t>
        </is>
      </c>
      <c r="AE51" s="9" t="inlineStr">
        <is>
          <t>wh0 BARU</t>
        </is>
      </c>
      <c r="AF51" s="9" t="inlineStr">
        <is>
          <t>wh1 BARU</t>
        </is>
      </c>
      <c r="AG51" s="9" t="inlineStr">
        <is>
          <t>wh2 BARU</t>
        </is>
      </c>
    </row>
    <row r="52">
      <c r="B52" s="14" t="n">
        <v>17</v>
      </c>
      <c r="C52" s="11" t="n">
        <v>0</v>
      </c>
      <c r="D52" s="11" t="n">
        <v>0</v>
      </c>
      <c r="E52" s="15">
        <f>Y47</f>
        <v/>
      </c>
      <c r="F52" s="15">
        <f>Z47</f>
        <v/>
      </c>
      <c r="G52" s="15">
        <f>AA47</f>
        <v/>
      </c>
      <c r="H52" s="15">
        <f>AB47</f>
        <v/>
      </c>
      <c r="I52" s="15">
        <f>AC47</f>
        <v/>
      </c>
      <c r="J52" s="15">
        <f>AD47</f>
        <v/>
      </c>
      <c r="K52" s="15">
        <f>AE47</f>
        <v/>
      </c>
      <c r="L52" s="15">
        <f>AF47</f>
        <v/>
      </c>
      <c r="M52" s="15">
        <f>AG47</f>
        <v/>
      </c>
      <c r="N52" s="16">
        <f>E52+F52*C52+G52*D52</f>
        <v/>
      </c>
      <c r="O52" s="16">
        <f>H52+I52*C52+J52*D52</f>
        <v/>
      </c>
      <c r="P52" s="20">
        <f>1/(1+EXP(-N52))</f>
        <v/>
      </c>
      <c r="Q52" s="20">
        <f>1/(1+EXP(-O52))</f>
        <v/>
      </c>
      <c r="R52" s="16">
        <f>K52+L52*P52+M52*Q52</f>
        <v/>
      </c>
      <c r="S52" s="21">
        <f>1/(1+EXP(-R52))</f>
        <v/>
      </c>
      <c r="T52" s="14">
        <f>INDEX($D$6:$D$9,1)</f>
        <v/>
      </c>
      <c r="U52" s="22">
        <f>(T52-S52)^2</f>
        <v/>
      </c>
      <c r="V52" s="22">
        <f>S52*(1-S52)*(T52-S52)</f>
        <v/>
      </c>
      <c r="W52" s="22">
        <f>P52*(1-P52)*L52*V52</f>
        <v/>
      </c>
      <c r="X52" s="22">
        <f>Q52*(1-Q52)*M52*V52</f>
        <v/>
      </c>
      <c r="Y52" s="15">
        <f>E52+$J$14*1*W52</f>
        <v/>
      </c>
      <c r="Z52" s="15">
        <f>F52+$J$14*C52*W52</f>
        <v/>
      </c>
      <c r="AA52" s="15">
        <f>G52+$J$14*D52*W52</f>
        <v/>
      </c>
      <c r="AB52" s="15">
        <f>H52+$J$14*1*X52</f>
        <v/>
      </c>
      <c r="AC52" s="15">
        <f>I52+$J$14*C52*X52</f>
        <v/>
      </c>
      <c r="AD52" s="15">
        <f>J52+$J$14*D52*X52</f>
        <v/>
      </c>
      <c r="AE52" s="15">
        <f>K52+$J$14*1*V52</f>
        <v/>
      </c>
      <c r="AF52" s="15">
        <f>L52+$J$14*P52*V52</f>
        <v/>
      </c>
      <c r="AG52" s="15">
        <f>M52+$J$14*Q52*V52</f>
        <v/>
      </c>
    </row>
    <row r="53">
      <c r="B53" s="14" t="n">
        <v>18</v>
      </c>
      <c r="C53" s="11" t="n">
        <v>0</v>
      </c>
      <c r="D53" s="11" t="n">
        <v>1</v>
      </c>
      <c r="E53" s="15">
        <f>Y52</f>
        <v/>
      </c>
      <c r="F53" s="15">
        <f>Z52</f>
        <v/>
      </c>
      <c r="G53" s="15">
        <f>AA52</f>
        <v/>
      </c>
      <c r="H53" s="15">
        <f>AB52</f>
        <v/>
      </c>
      <c r="I53" s="15">
        <f>AC52</f>
        <v/>
      </c>
      <c r="J53" s="15">
        <f>AD52</f>
        <v/>
      </c>
      <c r="K53" s="15">
        <f>AE52</f>
        <v/>
      </c>
      <c r="L53" s="15">
        <f>AF52</f>
        <v/>
      </c>
      <c r="M53" s="15">
        <f>AG52</f>
        <v/>
      </c>
      <c r="N53" s="16">
        <f>E53+F53*C53+G53*D53</f>
        <v/>
      </c>
      <c r="O53" s="16">
        <f>H53+I53*C53+J53*D53</f>
        <v/>
      </c>
      <c r="P53" s="20">
        <f>1/(1+EXP(-N53))</f>
        <v/>
      </c>
      <c r="Q53" s="20">
        <f>1/(1+EXP(-O53))</f>
        <v/>
      </c>
      <c r="R53" s="16">
        <f>K53+L53*P53+M53*Q53</f>
        <v/>
      </c>
      <c r="S53" s="21">
        <f>1/(1+EXP(-R53))</f>
        <v/>
      </c>
      <c r="T53" s="14">
        <f>INDEX($D$6:$D$9,2)</f>
        <v/>
      </c>
      <c r="U53" s="22">
        <f>(T53-S53)^2</f>
        <v/>
      </c>
      <c r="V53" s="22">
        <f>S53*(1-S53)*(T53-S53)</f>
        <v/>
      </c>
      <c r="W53" s="22">
        <f>P53*(1-P53)*L53*V53</f>
        <v/>
      </c>
      <c r="X53" s="22">
        <f>Q53*(1-Q53)*M53*V53</f>
        <v/>
      </c>
      <c r="Y53" s="15">
        <f>E53+$J$14*1*W53</f>
        <v/>
      </c>
      <c r="Z53" s="15">
        <f>F53+$J$14*C53*W53</f>
        <v/>
      </c>
      <c r="AA53" s="15">
        <f>G53+$J$14*D53*W53</f>
        <v/>
      </c>
      <c r="AB53" s="15">
        <f>H53+$J$14*1*X53</f>
        <v/>
      </c>
      <c r="AC53" s="15">
        <f>I53+$J$14*C53*X53</f>
        <v/>
      </c>
      <c r="AD53" s="15">
        <f>J53+$J$14*D53*X53</f>
        <v/>
      </c>
      <c r="AE53" s="15">
        <f>K53+$J$14*1*V53</f>
        <v/>
      </c>
      <c r="AF53" s="15">
        <f>L53+$J$14*P53*V53</f>
        <v/>
      </c>
      <c r="AG53" s="15">
        <f>M53+$J$14*Q53*V53</f>
        <v/>
      </c>
    </row>
    <row r="54">
      <c r="B54" s="14" t="n">
        <v>19</v>
      </c>
      <c r="C54" s="11" t="n">
        <v>1</v>
      </c>
      <c r="D54" s="11" t="n">
        <v>0</v>
      </c>
      <c r="E54" s="15">
        <f>Y53</f>
        <v/>
      </c>
      <c r="F54" s="15">
        <f>Z53</f>
        <v/>
      </c>
      <c r="G54" s="15">
        <f>AA53</f>
        <v/>
      </c>
      <c r="H54" s="15">
        <f>AB53</f>
        <v/>
      </c>
      <c r="I54" s="15">
        <f>AC53</f>
        <v/>
      </c>
      <c r="J54" s="15">
        <f>AD53</f>
        <v/>
      </c>
      <c r="K54" s="15">
        <f>AE53</f>
        <v/>
      </c>
      <c r="L54" s="15">
        <f>AF53</f>
        <v/>
      </c>
      <c r="M54" s="15">
        <f>AG53</f>
        <v/>
      </c>
      <c r="N54" s="16">
        <f>E54+F54*C54+G54*D54</f>
        <v/>
      </c>
      <c r="O54" s="16">
        <f>H54+I54*C54+J54*D54</f>
        <v/>
      </c>
      <c r="P54" s="20">
        <f>1/(1+EXP(-N54))</f>
        <v/>
      </c>
      <c r="Q54" s="20">
        <f>1/(1+EXP(-O54))</f>
        <v/>
      </c>
      <c r="R54" s="16">
        <f>K54+L54*P54+M54*Q54</f>
        <v/>
      </c>
      <c r="S54" s="21">
        <f>1/(1+EXP(-R54))</f>
        <v/>
      </c>
      <c r="T54" s="14">
        <f>INDEX($D$6:$D$9,3)</f>
        <v/>
      </c>
      <c r="U54" s="22">
        <f>(T54-S54)^2</f>
        <v/>
      </c>
      <c r="V54" s="22">
        <f>S54*(1-S54)*(T54-S54)</f>
        <v/>
      </c>
      <c r="W54" s="22">
        <f>P54*(1-P54)*L54*V54</f>
        <v/>
      </c>
      <c r="X54" s="22">
        <f>Q54*(1-Q54)*M54*V54</f>
        <v/>
      </c>
      <c r="Y54" s="15">
        <f>E54+$J$14*1*W54</f>
        <v/>
      </c>
      <c r="Z54" s="15">
        <f>F54+$J$14*C54*W54</f>
        <v/>
      </c>
      <c r="AA54" s="15">
        <f>G54+$J$14*D54*W54</f>
        <v/>
      </c>
      <c r="AB54" s="15">
        <f>H54+$J$14*1*X54</f>
        <v/>
      </c>
      <c r="AC54" s="15">
        <f>I54+$J$14*C54*X54</f>
        <v/>
      </c>
      <c r="AD54" s="15">
        <f>J54+$J$14*D54*X54</f>
        <v/>
      </c>
      <c r="AE54" s="15">
        <f>K54+$J$14*1*V54</f>
        <v/>
      </c>
      <c r="AF54" s="15">
        <f>L54+$J$14*P54*V54</f>
        <v/>
      </c>
      <c r="AG54" s="15">
        <f>M54+$J$14*Q54*V54</f>
        <v/>
      </c>
    </row>
    <row r="55">
      <c r="B55" s="14" t="n">
        <v>20</v>
      </c>
      <c r="C55" s="11" t="n">
        <v>1</v>
      </c>
      <c r="D55" s="11" t="n">
        <v>1</v>
      </c>
      <c r="E55" s="15">
        <f>Y54</f>
        <v/>
      </c>
      <c r="F55" s="15">
        <f>Z54</f>
        <v/>
      </c>
      <c r="G55" s="15">
        <f>AA54</f>
        <v/>
      </c>
      <c r="H55" s="15">
        <f>AB54</f>
        <v/>
      </c>
      <c r="I55" s="15">
        <f>AC54</f>
        <v/>
      </c>
      <c r="J55" s="15">
        <f>AD54</f>
        <v/>
      </c>
      <c r="K55" s="15">
        <f>AE54</f>
        <v/>
      </c>
      <c r="L55" s="15">
        <f>AF54</f>
        <v/>
      </c>
      <c r="M55" s="15">
        <f>AG54</f>
        <v/>
      </c>
      <c r="N55" s="16">
        <f>E55+F55*C55+G55*D55</f>
        <v/>
      </c>
      <c r="O55" s="16">
        <f>H55+I55*C55+J55*D55</f>
        <v/>
      </c>
      <c r="P55" s="20">
        <f>1/(1+EXP(-N55))</f>
        <v/>
      </c>
      <c r="Q55" s="20">
        <f>1/(1+EXP(-O55))</f>
        <v/>
      </c>
      <c r="R55" s="16">
        <f>K55+L55*P55+M55*Q55</f>
        <v/>
      </c>
      <c r="S55" s="21">
        <f>1/(1+EXP(-R55))</f>
        <v/>
      </c>
      <c r="T55" s="14">
        <f>INDEX($D$6:$D$9,4)</f>
        <v/>
      </c>
      <c r="U55" s="22">
        <f>(T55-S55)^2</f>
        <v/>
      </c>
      <c r="V55" s="22">
        <f>S55*(1-S55)*(T55-S55)</f>
        <v/>
      </c>
      <c r="W55" s="22">
        <f>P55*(1-P55)*L55*V55</f>
        <v/>
      </c>
      <c r="X55" s="22">
        <f>Q55*(1-Q55)*M55*V55</f>
        <v/>
      </c>
      <c r="Y55" s="15">
        <f>E55+$J$14*1*W55</f>
        <v/>
      </c>
      <c r="Z55" s="15">
        <f>F55+$J$14*C55*W55</f>
        <v/>
      </c>
      <c r="AA55" s="15">
        <f>G55+$J$14*D55*W55</f>
        <v/>
      </c>
      <c r="AB55" s="15">
        <f>H55+$J$14*1*X55</f>
        <v/>
      </c>
      <c r="AC55" s="15">
        <f>I55+$J$14*C55*X55</f>
        <v/>
      </c>
      <c r="AD55" s="15">
        <f>J55+$J$14*D55*X55</f>
        <v/>
      </c>
      <c r="AE55" s="15">
        <f>K55+$J$14*1*V55</f>
        <v/>
      </c>
      <c r="AF55" s="15">
        <f>L55+$J$14*P55*V55</f>
        <v/>
      </c>
      <c r="AG55" s="15">
        <f>M55+$J$14*Q55*V55</f>
        <v/>
      </c>
    </row>
    <row r="56">
      <c r="B56" s="2" t="inlineStr">
        <is>
          <t>MSE EPOCH 5   = rata-rata SE dari 4 pola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5" t="n"/>
      <c r="U56" s="23">
        <f>AVERAGE(U52:U55)</f>
        <v/>
      </c>
    </row>
    <row r="58">
      <c r="B58" s="8" t="inlineStr">
        <is>
          <t>BOBOT AKHIR (setelah 20 langkah)</t>
        </is>
      </c>
      <c r="C58" s="4" t="n"/>
      <c r="D58" s="4" t="n"/>
      <c r="E58" s="4" t="n"/>
      <c r="F58" s="5" t="n"/>
    </row>
    <row r="59">
      <c r="B59" s="9" t="inlineStr">
        <is>
          <t>wi (input -&gt; hidden)</t>
        </is>
      </c>
      <c r="C59" s="5" t="n"/>
      <c r="D59" s="9" t="inlineStr">
        <is>
          <t>H1</t>
        </is>
      </c>
      <c r="E59" s="9" t="inlineStr">
        <is>
          <t>H2</t>
        </is>
      </c>
    </row>
    <row r="60">
      <c r="B60" s="14" t="inlineStr">
        <is>
          <t>bias</t>
        </is>
      </c>
      <c r="C60" s="5" t="n"/>
      <c r="D60" s="10">
        <f>Y55</f>
        <v/>
      </c>
      <c r="E60" s="10">
        <f>AB55</f>
        <v/>
      </c>
    </row>
    <row r="61">
      <c r="B61" s="14" t="inlineStr">
        <is>
          <t>I1</t>
        </is>
      </c>
      <c r="C61" s="5" t="n"/>
      <c r="D61" s="10">
        <f>Z55</f>
        <v/>
      </c>
      <c r="E61" s="10">
        <f>AC55</f>
        <v/>
      </c>
    </row>
    <row r="62">
      <c r="B62" s="14" t="inlineStr">
        <is>
          <t>I2</t>
        </is>
      </c>
      <c r="C62" s="5" t="n"/>
      <c r="D62" s="10">
        <f>AA55</f>
        <v/>
      </c>
      <c r="E62" s="10">
        <f>AD55</f>
        <v/>
      </c>
    </row>
    <row r="64">
      <c r="B64" s="9" t="inlineStr">
        <is>
          <t>wh (hidden -&gt; output)</t>
        </is>
      </c>
      <c r="C64" s="5" t="n"/>
      <c r="D64" s="9" t="inlineStr">
        <is>
          <t>NILAI</t>
        </is>
      </c>
    </row>
    <row r="65">
      <c r="B65" s="2" t="inlineStr">
        <is>
          <t>wh0  (bias)</t>
        </is>
      </c>
      <c r="C65" s="5" t="n"/>
      <c r="D65" s="10">
        <f>AE55</f>
        <v/>
      </c>
    </row>
    <row r="66">
      <c r="B66" s="2" t="inlineStr">
        <is>
          <t>wh1  (H1)</t>
        </is>
      </c>
      <c r="C66" s="5" t="n"/>
      <c r="D66" s="10">
        <f>AF55</f>
        <v/>
      </c>
    </row>
    <row r="67">
      <c r="B67" s="2" t="inlineStr">
        <is>
          <t>wh2  (H2)</t>
        </is>
      </c>
      <c r="C67" s="5" t="n"/>
      <c r="D67" s="10">
        <f>AG55</f>
        <v/>
      </c>
    </row>
    <row r="69">
      <c r="B69" s="19" t="inlineStr">
        <is>
          <t>CATATAN: dH1/dH2 memakai wh1/wh2 SEBELUM update (kolom L/M), persis urutan pada fungsi backpropagation() di notebook. MSE turun sangat perlahan karena 5 epoch masih tahap paling awal.</t>
        </is>
      </c>
    </row>
  </sheetData>
  <mergeCells count="33">
    <mergeCell ref="F13:I13"/>
    <mergeCell ref="B62:C62"/>
    <mergeCell ref="F9:I9"/>
    <mergeCell ref="B59:C59"/>
    <mergeCell ref="B40:T40"/>
    <mergeCell ref="B50:AG50"/>
    <mergeCell ref="B26:AG26"/>
    <mergeCell ref="B66:C66"/>
    <mergeCell ref="B24:T24"/>
    <mergeCell ref="B58:F58"/>
    <mergeCell ref="F14:I14"/>
    <mergeCell ref="B32:T32"/>
    <mergeCell ref="B67:C67"/>
    <mergeCell ref="F11:I11"/>
    <mergeCell ref="B61:C61"/>
    <mergeCell ref="B18:AG18"/>
    <mergeCell ref="B60:C60"/>
    <mergeCell ref="F10:I10"/>
    <mergeCell ref="F6:I6"/>
    <mergeCell ref="B2:AG2"/>
    <mergeCell ref="B42:AG42"/>
    <mergeCell ref="F7:I7"/>
    <mergeCell ref="B4:D4"/>
    <mergeCell ref="F12:I12"/>
    <mergeCell ref="B56:T56"/>
    <mergeCell ref="F5:I5"/>
    <mergeCell ref="B69:AG69"/>
    <mergeCell ref="B48:T48"/>
    <mergeCell ref="B65:C65"/>
    <mergeCell ref="B34:AG34"/>
    <mergeCell ref="B64:C64"/>
    <mergeCell ref="F8:I8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2026-09-06T13:48:06Z</dcterms:created>
  <dcterms:modified xmlns:dcterms="http://purl.org/dc/terms/" xmlns:xsi="http://www.w3.org/2001/XMLSchema-instance" xsi:type="dcterms:W3CDTF">2026-09-06T13:48:06Z</dcterms:modified>
</cp:coreProperties>
</file>